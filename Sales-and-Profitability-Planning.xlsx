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ara\OneDrive\Desktop\"/>
    </mc:Choice>
  </mc:AlternateContent>
  <xr:revisionPtr revIDLastSave="0" documentId="13_ncr:1_{A0371D2E-4C10-4C00-953B-1BA21BAFEA71}" xr6:coauthVersionLast="47" xr6:coauthVersionMax="47" xr10:uidLastSave="{00000000-0000-0000-0000-000000000000}"/>
  <bookViews>
    <workbookView xWindow="-108" yWindow="-108" windowWidth="23256" windowHeight="12456" activeTab="1" xr2:uid="{0D185AE0-9C2E-4AA4-B280-D95F4A5C723A}"/>
  </bookViews>
  <sheets>
    <sheet name="Management_Summary" sheetId="7" r:id="rId1"/>
    <sheet name="2026_COGS_GROSS_PROFIT Plan" sheetId="6" r:id="rId2"/>
    <sheet name="historical_actuals" sheetId="3" r:id="rId3"/>
    <sheet name="Assumptions" sheetId="4" r:id="rId4"/>
    <sheet name="raw_data" sheetId="2" r:id="rId5"/>
    <sheet name="2026_Plan_sales" sheetId="5" r:id="rId6"/>
  </sheets>
  <definedNames>
    <definedName name="ExternalData_1" localSheetId="2" hidden="1">historical_actuals!$A$1:$H$291</definedName>
    <definedName name="ExternalData_1" localSheetId="4" hidden="1">raw_data!$A$1:$F$291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7" l="1"/>
  <c r="I7" i="7"/>
  <c r="H6" i="7"/>
  <c r="D15" i="7"/>
  <c r="C15" i="7"/>
  <c r="B15" i="7"/>
  <c r="D14" i="7"/>
  <c r="C14" i="7"/>
  <c r="B14" i="7"/>
  <c r="K2" i="6"/>
  <c r="H7" i="7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F2" i="6"/>
  <c r="F3" i="6"/>
  <c r="F4" i="6"/>
  <c r="F5" i="6"/>
  <c r="F6" i="6"/>
  <c r="F292" i="6" s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H4" i="7"/>
  <c r="C10" i="7"/>
  <c r="D10" i="7"/>
  <c r="B10" i="7"/>
  <c r="G8" i="7"/>
  <c r="G7" i="7"/>
  <c r="G6" i="7"/>
  <c r="G5" i="7"/>
  <c r="G4" i="7"/>
  <c r="C13" i="7"/>
  <c r="D13" i="7"/>
  <c r="B13" i="7"/>
  <c r="I2" i="6" a="1"/>
  <c r="I2" i="6" s="1"/>
  <c r="I292" i="6" s="1"/>
  <c r="G9" i="7"/>
  <c r="J292" i="3"/>
  <c r="F292" i="3"/>
  <c r="D292" i="3"/>
  <c r="E292" i="3"/>
  <c r="G292" i="3"/>
  <c r="H292" i="3"/>
  <c r="I292" i="3"/>
  <c r="C292" i="3"/>
  <c r="D292" i="6"/>
  <c r="E292" i="6"/>
  <c r="C292" i="6"/>
  <c r="A2" i="6" a="1"/>
  <c r="A2" i="6" s="1"/>
  <c r="B1" i="5"/>
  <c r="A4" i="5" a="1"/>
  <c r="A4" i="5" s="1"/>
  <c r="B12" i="4"/>
  <c r="D5" i="5" s="1"/>
  <c r="B13" i="4"/>
  <c r="B14" i="4"/>
  <c r="B15" i="4"/>
  <c r="J3" i="3"/>
  <c r="J5" i="3"/>
  <c r="J15" i="3"/>
  <c r="J16" i="3"/>
  <c r="J17" i="3"/>
  <c r="J27" i="3"/>
  <c r="J28" i="3"/>
  <c r="J29" i="3"/>
  <c r="J39" i="3"/>
  <c r="J40" i="3"/>
  <c r="J41" i="3"/>
  <c r="J52" i="3"/>
  <c r="J53" i="3"/>
  <c r="J63" i="3"/>
  <c r="J64" i="3"/>
  <c r="J65" i="3"/>
  <c r="J76" i="3"/>
  <c r="J77" i="3"/>
  <c r="J87" i="3"/>
  <c r="J88" i="3"/>
  <c r="J89" i="3"/>
  <c r="J99" i="3"/>
  <c r="J100" i="3"/>
  <c r="J101" i="3"/>
  <c r="J112" i="3"/>
  <c r="J123" i="3"/>
  <c r="J124" i="3"/>
  <c r="J125" i="3"/>
  <c r="J135" i="3"/>
  <c r="J136" i="3"/>
  <c r="J137" i="3"/>
  <c r="J147" i="3"/>
  <c r="J148" i="3"/>
  <c r="J149" i="3"/>
  <c r="J160" i="3"/>
  <c r="J171" i="3"/>
  <c r="J172" i="3"/>
  <c r="J173" i="3"/>
  <c r="J183" i="3"/>
  <c r="J184" i="3"/>
  <c r="J185" i="3"/>
  <c r="J195" i="3"/>
  <c r="J196" i="3"/>
  <c r="J197" i="3"/>
  <c r="J207" i="3"/>
  <c r="J208" i="3"/>
  <c r="J209" i="3"/>
  <c r="J219" i="3"/>
  <c r="J220" i="3"/>
  <c r="J221" i="3"/>
  <c r="J231" i="3"/>
  <c r="J232" i="3"/>
  <c r="J233" i="3"/>
  <c r="J244" i="3"/>
  <c r="J245" i="3"/>
  <c r="J255" i="3"/>
  <c r="J256" i="3"/>
  <c r="J257" i="3"/>
  <c r="J267" i="3"/>
  <c r="J268" i="3"/>
  <c r="J269" i="3"/>
  <c r="J279" i="3"/>
  <c r="J280" i="3"/>
  <c r="J281" i="3"/>
  <c r="E2" i="3"/>
  <c r="F2" i="3" s="1"/>
  <c r="E3" i="3"/>
  <c r="E4" i="3"/>
  <c r="F4" i="3" s="1"/>
  <c r="E5" i="3"/>
  <c r="E6" i="3"/>
  <c r="F6" i="3" s="1"/>
  <c r="E7" i="3"/>
  <c r="I7" i="3" s="1"/>
  <c r="J7" i="3" s="1"/>
  <c r="E8" i="3"/>
  <c r="F8" i="3" s="1"/>
  <c r="E9" i="3"/>
  <c r="F9" i="3" s="1"/>
  <c r="E10" i="3"/>
  <c r="I10" i="3" s="1"/>
  <c r="J10" i="3" s="1"/>
  <c r="E11" i="3"/>
  <c r="I11" i="3" s="1"/>
  <c r="J11" i="3" s="1"/>
  <c r="E12" i="3"/>
  <c r="I12" i="3" s="1"/>
  <c r="J12" i="3" s="1"/>
  <c r="E13" i="3"/>
  <c r="F13" i="3" s="1"/>
  <c r="E14" i="3"/>
  <c r="F14" i="3" s="1"/>
  <c r="E15" i="3"/>
  <c r="E16" i="3"/>
  <c r="I16" i="3" s="1"/>
  <c r="E17" i="3"/>
  <c r="E18" i="3"/>
  <c r="F18" i="3" s="1"/>
  <c r="E19" i="3"/>
  <c r="F19" i="3" s="1"/>
  <c r="E20" i="3"/>
  <c r="F20" i="3" s="1"/>
  <c r="E21" i="3"/>
  <c r="I21" i="3" s="1"/>
  <c r="J21" i="3" s="1"/>
  <c r="E22" i="3"/>
  <c r="I22" i="3" s="1"/>
  <c r="J22" i="3" s="1"/>
  <c r="E23" i="3"/>
  <c r="I23" i="3" s="1"/>
  <c r="J23" i="3" s="1"/>
  <c r="E24" i="3"/>
  <c r="I24" i="3" s="1"/>
  <c r="J24" i="3" s="1"/>
  <c r="E25" i="3"/>
  <c r="F25" i="3" s="1"/>
  <c r="E26" i="3"/>
  <c r="F26" i="3" s="1"/>
  <c r="E27" i="3"/>
  <c r="E28" i="3"/>
  <c r="I28" i="3" s="1"/>
  <c r="E29" i="3"/>
  <c r="E30" i="3"/>
  <c r="F30" i="3" s="1"/>
  <c r="E31" i="3"/>
  <c r="E32" i="3"/>
  <c r="E33" i="3"/>
  <c r="E34" i="3"/>
  <c r="F34" i="3" s="1"/>
  <c r="E35" i="3"/>
  <c r="I35" i="3" s="1"/>
  <c r="J35" i="3" s="1"/>
  <c r="E36" i="3"/>
  <c r="I36" i="3" s="1"/>
  <c r="J36" i="3" s="1"/>
  <c r="E37" i="3"/>
  <c r="F37" i="3" s="1"/>
  <c r="E38" i="3"/>
  <c r="F38" i="3" s="1"/>
  <c r="E39" i="3"/>
  <c r="E40" i="3"/>
  <c r="I40" i="3" s="1"/>
  <c r="E41" i="3"/>
  <c r="E42" i="3"/>
  <c r="F42" i="3" s="1"/>
  <c r="E43" i="3"/>
  <c r="I43" i="3" s="1"/>
  <c r="J43" i="3" s="1"/>
  <c r="E44" i="3"/>
  <c r="I44" i="3" s="1"/>
  <c r="J44" i="3" s="1"/>
  <c r="E45" i="3"/>
  <c r="I45" i="3" s="1"/>
  <c r="J45" i="3" s="1"/>
  <c r="E46" i="3"/>
  <c r="I46" i="3" s="1"/>
  <c r="J46" i="3" s="1"/>
  <c r="E47" i="3"/>
  <c r="I47" i="3" s="1"/>
  <c r="J47" i="3" s="1"/>
  <c r="E48" i="3"/>
  <c r="I48" i="3" s="1"/>
  <c r="J48" i="3" s="1"/>
  <c r="E49" i="3"/>
  <c r="F49" i="3" s="1"/>
  <c r="E50" i="3"/>
  <c r="F50" i="3" s="1"/>
  <c r="E51" i="3"/>
  <c r="E52" i="3"/>
  <c r="I52" i="3" s="1"/>
  <c r="E53" i="3"/>
  <c r="E54" i="3"/>
  <c r="F54" i="3" s="1"/>
  <c r="E55" i="3"/>
  <c r="F55" i="3" s="1"/>
  <c r="E56" i="3"/>
  <c r="F56" i="3" s="1"/>
  <c r="E57" i="3"/>
  <c r="F57" i="3" s="1"/>
  <c r="E58" i="3"/>
  <c r="F58" i="3" s="1"/>
  <c r="E59" i="3"/>
  <c r="I59" i="3" s="1"/>
  <c r="J59" i="3" s="1"/>
  <c r="E60" i="3"/>
  <c r="I60" i="3" s="1"/>
  <c r="J60" i="3" s="1"/>
  <c r="E61" i="3"/>
  <c r="F61" i="3" s="1"/>
  <c r="E62" i="3"/>
  <c r="F62" i="3" s="1"/>
  <c r="E63" i="3"/>
  <c r="E64" i="3"/>
  <c r="I64" i="3" s="1"/>
  <c r="E65" i="3"/>
  <c r="E66" i="3"/>
  <c r="F66" i="3" s="1"/>
  <c r="E67" i="3"/>
  <c r="F67" i="3" s="1"/>
  <c r="E68" i="3"/>
  <c r="F68" i="3" s="1"/>
  <c r="E69" i="3"/>
  <c r="F69" i="3" s="1"/>
  <c r="E70" i="3"/>
  <c r="F70" i="3" s="1"/>
  <c r="E71" i="3"/>
  <c r="I71" i="3" s="1"/>
  <c r="J71" i="3" s="1"/>
  <c r="E72" i="3"/>
  <c r="I72" i="3" s="1"/>
  <c r="J72" i="3" s="1"/>
  <c r="E73" i="3"/>
  <c r="F73" i="3" s="1"/>
  <c r="E74" i="3"/>
  <c r="F74" i="3" s="1"/>
  <c r="E75" i="3"/>
  <c r="E76" i="3"/>
  <c r="I76" i="3" s="1"/>
  <c r="E77" i="3"/>
  <c r="E78" i="3"/>
  <c r="F78" i="3" s="1"/>
  <c r="E79" i="3"/>
  <c r="I79" i="3" s="1"/>
  <c r="J79" i="3" s="1"/>
  <c r="E80" i="3"/>
  <c r="I80" i="3" s="1"/>
  <c r="J80" i="3" s="1"/>
  <c r="E81" i="3"/>
  <c r="I81" i="3" s="1"/>
  <c r="J81" i="3" s="1"/>
  <c r="E82" i="3"/>
  <c r="F82" i="3" s="1"/>
  <c r="E83" i="3"/>
  <c r="I83" i="3" s="1"/>
  <c r="J83" i="3" s="1"/>
  <c r="E84" i="3"/>
  <c r="I84" i="3" s="1"/>
  <c r="J84" i="3" s="1"/>
  <c r="E85" i="3"/>
  <c r="F85" i="3" s="1"/>
  <c r="E86" i="3"/>
  <c r="F86" i="3" s="1"/>
  <c r="E87" i="3"/>
  <c r="E88" i="3"/>
  <c r="I88" i="3" s="1"/>
  <c r="E89" i="3"/>
  <c r="E90" i="3"/>
  <c r="F90" i="3" s="1"/>
  <c r="E91" i="3"/>
  <c r="I91" i="3" s="1"/>
  <c r="J91" i="3" s="1"/>
  <c r="E92" i="3"/>
  <c r="I92" i="3" s="1"/>
  <c r="J92" i="3" s="1"/>
  <c r="E93" i="3"/>
  <c r="I93" i="3" s="1"/>
  <c r="J93" i="3" s="1"/>
  <c r="E94" i="3"/>
  <c r="I94" i="3" s="1"/>
  <c r="J94" i="3" s="1"/>
  <c r="E95" i="3"/>
  <c r="I95" i="3" s="1"/>
  <c r="J95" i="3" s="1"/>
  <c r="E96" i="3"/>
  <c r="I96" i="3" s="1"/>
  <c r="J96" i="3" s="1"/>
  <c r="E97" i="3"/>
  <c r="F97" i="3" s="1"/>
  <c r="E98" i="3"/>
  <c r="F98" i="3" s="1"/>
  <c r="E99" i="3"/>
  <c r="E100" i="3"/>
  <c r="I100" i="3" s="1"/>
  <c r="E101" i="3"/>
  <c r="E102" i="3"/>
  <c r="F102" i="3" s="1"/>
  <c r="E103" i="3"/>
  <c r="F103" i="3" s="1"/>
  <c r="E104" i="3"/>
  <c r="I104" i="3" s="1"/>
  <c r="J104" i="3" s="1"/>
  <c r="E105" i="3"/>
  <c r="I105" i="3" s="1"/>
  <c r="J105" i="3" s="1"/>
  <c r="E106" i="3"/>
  <c r="I106" i="3" s="1"/>
  <c r="J106" i="3" s="1"/>
  <c r="E107" i="3"/>
  <c r="I107" i="3" s="1"/>
  <c r="J107" i="3" s="1"/>
  <c r="E108" i="3"/>
  <c r="I108" i="3" s="1"/>
  <c r="J108" i="3" s="1"/>
  <c r="E109" i="3"/>
  <c r="F109" i="3" s="1"/>
  <c r="E110" i="3"/>
  <c r="F110" i="3" s="1"/>
  <c r="E111" i="3"/>
  <c r="E112" i="3"/>
  <c r="I112" i="3" s="1"/>
  <c r="E113" i="3"/>
  <c r="E114" i="3"/>
  <c r="F114" i="3" s="1"/>
  <c r="E115" i="3"/>
  <c r="F115" i="3" s="1"/>
  <c r="E116" i="3"/>
  <c r="F116" i="3" s="1"/>
  <c r="E117" i="3"/>
  <c r="F117" i="3" s="1"/>
  <c r="E118" i="3"/>
  <c r="F118" i="3" s="1"/>
  <c r="E119" i="3"/>
  <c r="I119" i="3" s="1"/>
  <c r="J119" i="3" s="1"/>
  <c r="E120" i="3"/>
  <c r="I120" i="3" s="1"/>
  <c r="J120" i="3" s="1"/>
  <c r="E121" i="3"/>
  <c r="F121" i="3" s="1"/>
  <c r="E122" i="3"/>
  <c r="F122" i="3" s="1"/>
  <c r="E123" i="3"/>
  <c r="E124" i="3"/>
  <c r="I124" i="3" s="1"/>
  <c r="E125" i="3"/>
  <c r="E126" i="3"/>
  <c r="F126" i="3" s="1"/>
  <c r="E127" i="3"/>
  <c r="I127" i="3" s="1"/>
  <c r="J127" i="3" s="1"/>
  <c r="E128" i="3"/>
  <c r="I128" i="3" s="1"/>
  <c r="J128" i="3" s="1"/>
  <c r="E129" i="3"/>
  <c r="I129" i="3" s="1"/>
  <c r="J129" i="3" s="1"/>
  <c r="E130" i="3"/>
  <c r="F130" i="3" s="1"/>
  <c r="E131" i="3"/>
  <c r="F131" i="3" s="1"/>
  <c r="E132" i="3"/>
  <c r="I132" i="3" s="1"/>
  <c r="J132" i="3" s="1"/>
  <c r="E133" i="3"/>
  <c r="F133" i="3" s="1"/>
  <c r="E134" i="3"/>
  <c r="F134" i="3" s="1"/>
  <c r="E135" i="3"/>
  <c r="E136" i="3"/>
  <c r="I136" i="3" s="1"/>
  <c r="E137" i="3"/>
  <c r="E138" i="3"/>
  <c r="F138" i="3" s="1"/>
  <c r="E139" i="3"/>
  <c r="E140" i="3"/>
  <c r="I140" i="3" s="1"/>
  <c r="J140" i="3" s="1"/>
  <c r="E141" i="3"/>
  <c r="I141" i="3" s="1"/>
  <c r="J141" i="3" s="1"/>
  <c r="E142" i="3"/>
  <c r="I142" i="3" s="1"/>
  <c r="J142" i="3" s="1"/>
  <c r="E143" i="3"/>
  <c r="I143" i="3" s="1"/>
  <c r="J143" i="3" s="1"/>
  <c r="E144" i="3"/>
  <c r="I144" i="3" s="1"/>
  <c r="J144" i="3" s="1"/>
  <c r="E145" i="3"/>
  <c r="F145" i="3" s="1"/>
  <c r="E146" i="3"/>
  <c r="F146" i="3" s="1"/>
  <c r="E147" i="3"/>
  <c r="E148" i="3"/>
  <c r="I148" i="3" s="1"/>
  <c r="E149" i="3"/>
  <c r="E150" i="3"/>
  <c r="F150" i="3" s="1"/>
  <c r="E151" i="3"/>
  <c r="F151" i="3" s="1"/>
  <c r="E152" i="3"/>
  <c r="F152" i="3" s="1"/>
  <c r="E153" i="3"/>
  <c r="F153" i="3" s="1"/>
  <c r="E154" i="3"/>
  <c r="F154" i="3" s="1"/>
  <c r="E155" i="3"/>
  <c r="F155" i="3" s="1"/>
  <c r="E156" i="3"/>
  <c r="I156" i="3" s="1"/>
  <c r="J156" i="3" s="1"/>
  <c r="E157" i="3"/>
  <c r="F157" i="3" s="1"/>
  <c r="E158" i="3"/>
  <c r="F158" i="3" s="1"/>
  <c r="E159" i="3"/>
  <c r="E160" i="3"/>
  <c r="I160" i="3" s="1"/>
  <c r="E161" i="3"/>
  <c r="E162" i="3"/>
  <c r="F162" i="3" s="1"/>
  <c r="E163" i="3"/>
  <c r="F163" i="3" s="1"/>
  <c r="E164" i="3"/>
  <c r="F164" i="3" s="1"/>
  <c r="E165" i="3"/>
  <c r="F165" i="3" s="1"/>
  <c r="E166" i="3"/>
  <c r="F166" i="3" s="1"/>
  <c r="E167" i="3"/>
  <c r="I167" i="3" s="1"/>
  <c r="J167" i="3" s="1"/>
  <c r="E168" i="3"/>
  <c r="I168" i="3" s="1"/>
  <c r="J168" i="3" s="1"/>
  <c r="E169" i="3"/>
  <c r="F169" i="3" s="1"/>
  <c r="E170" i="3"/>
  <c r="F170" i="3" s="1"/>
  <c r="E171" i="3"/>
  <c r="E172" i="3"/>
  <c r="I172" i="3" s="1"/>
  <c r="E173" i="3"/>
  <c r="E174" i="3"/>
  <c r="F174" i="3" s="1"/>
  <c r="E175" i="3"/>
  <c r="F175" i="3" s="1"/>
  <c r="E176" i="3"/>
  <c r="F176" i="3" s="1"/>
  <c r="E177" i="3"/>
  <c r="F177" i="3" s="1"/>
  <c r="E178" i="3"/>
  <c r="F178" i="3" s="1"/>
  <c r="E179" i="3"/>
  <c r="F179" i="3" s="1"/>
  <c r="E180" i="3"/>
  <c r="I180" i="3" s="1"/>
  <c r="J180" i="3" s="1"/>
  <c r="E181" i="3"/>
  <c r="F181" i="3" s="1"/>
  <c r="E182" i="3"/>
  <c r="F182" i="3" s="1"/>
  <c r="E183" i="3"/>
  <c r="E184" i="3"/>
  <c r="I184" i="3" s="1"/>
  <c r="E185" i="3"/>
  <c r="E186" i="3"/>
  <c r="F186" i="3" s="1"/>
  <c r="E187" i="3"/>
  <c r="E188" i="3"/>
  <c r="E189" i="3"/>
  <c r="I189" i="3" s="1"/>
  <c r="J189" i="3" s="1"/>
  <c r="E190" i="3"/>
  <c r="I190" i="3" s="1"/>
  <c r="J190" i="3" s="1"/>
  <c r="E191" i="3"/>
  <c r="I191" i="3" s="1"/>
  <c r="J191" i="3" s="1"/>
  <c r="E192" i="3"/>
  <c r="I192" i="3" s="1"/>
  <c r="J192" i="3" s="1"/>
  <c r="E193" i="3"/>
  <c r="F193" i="3" s="1"/>
  <c r="E194" i="3"/>
  <c r="F194" i="3" s="1"/>
  <c r="E195" i="3"/>
  <c r="E196" i="3"/>
  <c r="I196" i="3" s="1"/>
  <c r="E197" i="3"/>
  <c r="E198" i="3"/>
  <c r="F198" i="3" s="1"/>
  <c r="E199" i="3"/>
  <c r="I199" i="3" s="1"/>
  <c r="J199" i="3" s="1"/>
  <c r="E200" i="3"/>
  <c r="I200" i="3" s="1"/>
  <c r="J200" i="3" s="1"/>
  <c r="E201" i="3"/>
  <c r="I201" i="3" s="1"/>
  <c r="J201" i="3" s="1"/>
  <c r="E202" i="3"/>
  <c r="F202" i="3" s="1"/>
  <c r="E203" i="3"/>
  <c r="I203" i="3" s="1"/>
  <c r="J203" i="3" s="1"/>
  <c r="E204" i="3"/>
  <c r="I204" i="3" s="1"/>
  <c r="J204" i="3" s="1"/>
  <c r="E205" i="3"/>
  <c r="F205" i="3" s="1"/>
  <c r="E206" i="3"/>
  <c r="F206" i="3" s="1"/>
  <c r="E207" i="3"/>
  <c r="E208" i="3"/>
  <c r="I208" i="3" s="1"/>
  <c r="E209" i="3"/>
  <c r="E210" i="3"/>
  <c r="F210" i="3" s="1"/>
  <c r="E211" i="3"/>
  <c r="F211" i="3" s="1"/>
  <c r="E212" i="3"/>
  <c r="F212" i="3" s="1"/>
  <c r="E213" i="3"/>
  <c r="F213" i="3" s="1"/>
  <c r="E214" i="3"/>
  <c r="I214" i="3" s="1"/>
  <c r="J214" i="3" s="1"/>
  <c r="E215" i="3"/>
  <c r="I215" i="3" s="1"/>
  <c r="J215" i="3" s="1"/>
  <c r="E216" i="3"/>
  <c r="I216" i="3" s="1"/>
  <c r="J216" i="3" s="1"/>
  <c r="E217" i="3"/>
  <c r="F217" i="3" s="1"/>
  <c r="E218" i="3"/>
  <c r="F218" i="3" s="1"/>
  <c r="E219" i="3"/>
  <c r="E220" i="3"/>
  <c r="I220" i="3" s="1"/>
  <c r="E221" i="3"/>
  <c r="E222" i="3"/>
  <c r="F222" i="3" s="1"/>
  <c r="E223" i="3"/>
  <c r="I223" i="3" s="1"/>
  <c r="J223" i="3" s="1"/>
  <c r="E224" i="3"/>
  <c r="I224" i="3" s="1"/>
  <c r="J224" i="3" s="1"/>
  <c r="E225" i="3"/>
  <c r="I225" i="3" s="1"/>
  <c r="J225" i="3" s="1"/>
  <c r="E226" i="3"/>
  <c r="F226" i="3" s="1"/>
  <c r="E227" i="3"/>
  <c r="F227" i="3" s="1"/>
  <c r="E228" i="3"/>
  <c r="I228" i="3" s="1"/>
  <c r="J228" i="3" s="1"/>
  <c r="E229" i="3"/>
  <c r="F229" i="3" s="1"/>
  <c r="E230" i="3"/>
  <c r="F230" i="3" s="1"/>
  <c r="E231" i="3"/>
  <c r="E232" i="3"/>
  <c r="I232" i="3" s="1"/>
  <c r="E233" i="3"/>
  <c r="E234" i="3"/>
  <c r="F234" i="3" s="1"/>
  <c r="E235" i="3"/>
  <c r="I235" i="3" s="1"/>
  <c r="J235" i="3" s="1"/>
  <c r="E236" i="3"/>
  <c r="I236" i="3" s="1"/>
  <c r="J236" i="3" s="1"/>
  <c r="E237" i="3"/>
  <c r="I237" i="3" s="1"/>
  <c r="J237" i="3" s="1"/>
  <c r="E238" i="3"/>
  <c r="I238" i="3" s="1"/>
  <c r="J238" i="3" s="1"/>
  <c r="E239" i="3"/>
  <c r="I239" i="3" s="1"/>
  <c r="J239" i="3" s="1"/>
  <c r="E240" i="3"/>
  <c r="I240" i="3" s="1"/>
  <c r="J240" i="3" s="1"/>
  <c r="E241" i="3"/>
  <c r="F241" i="3" s="1"/>
  <c r="E242" i="3"/>
  <c r="F242" i="3" s="1"/>
  <c r="E243" i="3"/>
  <c r="E244" i="3"/>
  <c r="I244" i="3" s="1"/>
  <c r="E245" i="3"/>
  <c r="E246" i="3"/>
  <c r="F246" i="3" s="1"/>
  <c r="E247" i="3"/>
  <c r="F247" i="3" s="1"/>
  <c r="E248" i="3"/>
  <c r="F248" i="3" s="1"/>
  <c r="E249" i="3"/>
  <c r="F249" i="3" s="1"/>
  <c r="E250" i="3"/>
  <c r="I250" i="3" s="1"/>
  <c r="J250" i="3" s="1"/>
  <c r="E251" i="3"/>
  <c r="I251" i="3" s="1"/>
  <c r="J251" i="3" s="1"/>
  <c r="E252" i="3"/>
  <c r="I252" i="3" s="1"/>
  <c r="J252" i="3" s="1"/>
  <c r="E253" i="3"/>
  <c r="F253" i="3" s="1"/>
  <c r="E254" i="3"/>
  <c r="F254" i="3" s="1"/>
  <c r="E255" i="3"/>
  <c r="E256" i="3"/>
  <c r="I256" i="3" s="1"/>
  <c r="E257" i="3"/>
  <c r="E258" i="3"/>
  <c r="F258" i="3" s="1"/>
  <c r="E259" i="3"/>
  <c r="F259" i="3" s="1"/>
  <c r="E260" i="3"/>
  <c r="F260" i="3" s="1"/>
  <c r="E261" i="3"/>
  <c r="F261" i="3" s="1"/>
  <c r="E262" i="3"/>
  <c r="F262" i="3" s="1"/>
  <c r="E263" i="3"/>
  <c r="F263" i="3" s="1"/>
  <c r="E264" i="3"/>
  <c r="I264" i="3" s="1"/>
  <c r="J264" i="3" s="1"/>
  <c r="E265" i="3"/>
  <c r="F265" i="3" s="1"/>
  <c r="E266" i="3"/>
  <c r="F266" i="3" s="1"/>
  <c r="E267" i="3"/>
  <c r="E268" i="3"/>
  <c r="I268" i="3" s="1"/>
  <c r="E269" i="3"/>
  <c r="E270" i="3"/>
  <c r="F270" i="3" s="1"/>
  <c r="E271" i="3"/>
  <c r="I271" i="3" s="1"/>
  <c r="J271" i="3" s="1"/>
  <c r="E272" i="3"/>
  <c r="I272" i="3" s="1"/>
  <c r="J272" i="3" s="1"/>
  <c r="E273" i="3"/>
  <c r="I273" i="3" s="1"/>
  <c r="J273" i="3" s="1"/>
  <c r="E274" i="3"/>
  <c r="F274" i="3" s="1"/>
  <c r="E275" i="3"/>
  <c r="F275" i="3" s="1"/>
  <c r="E276" i="3"/>
  <c r="I276" i="3" s="1"/>
  <c r="J276" i="3" s="1"/>
  <c r="E277" i="3"/>
  <c r="F277" i="3" s="1"/>
  <c r="E278" i="3"/>
  <c r="F278" i="3" s="1"/>
  <c r="E279" i="3"/>
  <c r="F279" i="3" s="1"/>
  <c r="E280" i="3"/>
  <c r="I280" i="3" s="1"/>
  <c r="E281" i="3"/>
  <c r="E282" i="3"/>
  <c r="F282" i="3" s="1"/>
  <c r="E283" i="3"/>
  <c r="E284" i="3"/>
  <c r="F284" i="3" s="1"/>
  <c r="E285" i="3"/>
  <c r="F285" i="3" s="1"/>
  <c r="E286" i="3"/>
  <c r="I286" i="3" s="1"/>
  <c r="J286" i="3" s="1"/>
  <c r="E287" i="3"/>
  <c r="I287" i="3" s="1"/>
  <c r="J287" i="3" s="1"/>
  <c r="E288" i="3"/>
  <c r="I288" i="3" s="1"/>
  <c r="J288" i="3" s="1"/>
  <c r="E289" i="3"/>
  <c r="F289" i="3" s="1"/>
  <c r="E290" i="3"/>
  <c r="F290" i="3" s="1"/>
  <c r="E291" i="3"/>
  <c r="F3" i="3"/>
  <c r="F5" i="3"/>
  <c r="F15" i="3"/>
  <c r="F16" i="3"/>
  <c r="F17" i="3"/>
  <c r="F27" i="3"/>
  <c r="F28" i="3"/>
  <c r="F29" i="3"/>
  <c r="F31" i="3"/>
  <c r="F32" i="3"/>
  <c r="F33" i="3"/>
  <c r="F39" i="3"/>
  <c r="F40" i="3"/>
  <c r="F41" i="3"/>
  <c r="F51" i="3"/>
  <c r="F52" i="3"/>
  <c r="F53" i="3"/>
  <c r="F63" i="3"/>
  <c r="F64" i="3"/>
  <c r="F65" i="3"/>
  <c r="F75" i="3"/>
  <c r="F76" i="3"/>
  <c r="F77" i="3"/>
  <c r="F79" i="3"/>
  <c r="F80" i="3"/>
  <c r="F81" i="3"/>
  <c r="F87" i="3"/>
  <c r="F88" i="3"/>
  <c r="F89" i="3"/>
  <c r="F99" i="3"/>
  <c r="F100" i="3"/>
  <c r="F101" i="3"/>
  <c r="F111" i="3"/>
  <c r="F112" i="3"/>
  <c r="F113" i="3"/>
  <c r="F123" i="3"/>
  <c r="F124" i="3"/>
  <c r="F125" i="3"/>
  <c r="F135" i="3"/>
  <c r="F136" i="3"/>
  <c r="F137" i="3"/>
  <c r="F139" i="3"/>
  <c r="F140" i="3"/>
  <c r="F141" i="3"/>
  <c r="F147" i="3"/>
  <c r="F148" i="3"/>
  <c r="F149" i="3"/>
  <c r="F159" i="3"/>
  <c r="F160" i="3"/>
  <c r="F161" i="3"/>
  <c r="F171" i="3"/>
  <c r="F172" i="3"/>
  <c r="F173" i="3"/>
  <c r="F183" i="3"/>
  <c r="F184" i="3"/>
  <c r="F185" i="3"/>
  <c r="F187" i="3"/>
  <c r="F188" i="3"/>
  <c r="F189" i="3"/>
  <c r="F190" i="3"/>
  <c r="F191" i="3"/>
  <c r="F192" i="3"/>
  <c r="F195" i="3"/>
  <c r="F196" i="3"/>
  <c r="F197" i="3"/>
  <c r="F207" i="3"/>
  <c r="F208" i="3"/>
  <c r="F209" i="3"/>
  <c r="F219" i="3"/>
  <c r="F220" i="3"/>
  <c r="F221" i="3"/>
  <c r="F223" i="3"/>
  <c r="F224" i="3"/>
  <c r="F225" i="3"/>
  <c r="F231" i="3"/>
  <c r="F232" i="3"/>
  <c r="F233" i="3"/>
  <c r="F243" i="3"/>
  <c r="F244" i="3"/>
  <c r="F245" i="3"/>
  <c r="F255" i="3"/>
  <c r="F256" i="3"/>
  <c r="F257" i="3"/>
  <c r="F267" i="3"/>
  <c r="F268" i="3"/>
  <c r="F269" i="3"/>
  <c r="F271" i="3"/>
  <c r="F272" i="3"/>
  <c r="F273" i="3"/>
  <c r="F280" i="3"/>
  <c r="F281" i="3"/>
  <c r="F283" i="3"/>
  <c r="F291" i="3"/>
  <c r="I3" i="3"/>
  <c r="I5" i="3"/>
  <c r="I15" i="3"/>
  <c r="I17" i="3"/>
  <c r="I18" i="3"/>
  <c r="J18" i="3" s="1"/>
  <c r="I19" i="3"/>
  <c r="J19" i="3" s="1"/>
  <c r="I27" i="3"/>
  <c r="I29" i="3"/>
  <c r="I30" i="3"/>
  <c r="J30" i="3" s="1"/>
  <c r="I31" i="3"/>
  <c r="J31" i="3" s="1"/>
  <c r="I32" i="3"/>
  <c r="J32" i="3" s="1"/>
  <c r="I33" i="3"/>
  <c r="J33" i="3" s="1"/>
  <c r="I34" i="3"/>
  <c r="J34" i="3" s="1"/>
  <c r="I39" i="3"/>
  <c r="I41" i="3"/>
  <c r="I42" i="3"/>
  <c r="J42" i="3" s="1"/>
  <c r="I51" i="3"/>
  <c r="J51" i="3" s="1"/>
  <c r="I53" i="3"/>
  <c r="I54" i="3"/>
  <c r="J54" i="3" s="1"/>
  <c r="I63" i="3"/>
  <c r="I65" i="3"/>
  <c r="I66" i="3"/>
  <c r="J66" i="3" s="1"/>
  <c r="I75" i="3"/>
  <c r="J75" i="3" s="1"/>
  <c r="I77" i="3"/>
  <c r="I78" i="3"/>
  <c r="J78" i="3" s="1"/>
  <c r="I87" i="3"/>
  <c r="I89" i="3"/>
  <c r="I90" i="3"/>
  <c r="J90" i="3" s="1"/>
  <c r="I99" i="3"/>
  <c r="I101" i="3"/>
  <c r="I102" i="3"/>
  <c r="J102" i="3" s="1"/>
  <c r="I103" i="3"/>
  <c r="J103" i="3" s="1"/>
  <c r="I111" i="3"/>
  <c r="J111" i="3" s="1"/>
  <c r="I113" i="3"/>
  <c r="J113" i="3" s="1"/>
  <c r="I114" i="3"/>
  <c r="J114" i="3" s="1"/>
  <c r="I123" i="3"/>
  <c r="I125" i="3"/>
  <c r="I126" i="3"/>
  <c r="J126" i="3" s="1"/>
  <c r="I135" i="3"/>
  <c r="I137" i="3"/>
  <c r="I138" i="3"/>
  <c r="J138" i="3" s="1"/>
  <c r="I139" i="3"/>
  <c r="J139" i="3" s="1"/>
  <c r="I147" i="3"/>
  <c r="I149" i="3"/>
  <c r="I150" i="3"/>
  <c r="J150" i="3" s="1"/>
  <c r="I151" i="3"/>
  <c r="J151" i="3" s="1"/>
  <c r="I152" i="3"/>
  <c r="J152" i="3" s="1"/>
  <c r="I153" i="3"/>
  <c r="J153" i="3" s="1"/>
  <c r="I154" i="3"/>
  <c r="J154" i="3" s="1"/>
  <c r="I155" i="3"/>
  <c r="J155" i="3" s="1"/>
  <c r="I159" i="3"/>
  <c r="J159" i="3" s="1"/>
  <c r="I161" i="3"/>
  <c r="J161" i="3" s="1"/>
  <c r="I162" i="3"/>
  <c r="J162" i="3" s="1"/>
  <c r="I171" i="3"/>
  <c r="I173" i="3"/>
  <c r="I174" i="3"/>
  <c r="J174" i="3" s="1"/>
  <c r="I175" i="3"/>
  <c r="J175" i="3" s="1"/>
  <c r="I176" i="3"/>
  <c r="J176" i="3" s="1"/>
  <c r="I177" i="3"/>
  <c r="J177" i="3" s="1"/>
  <c r="I183" i="3"/>
  <c r="I185" i="3"/>
  <c r="I186" i="3"/>
  <c r="J186" i="3" s="1"/>
  <c r="I187" i="3"/>
  <c r="J187" i="3" s="1"/>
  <c r="I188" i="3"/>
  <c r="J188" i="3" s="1"/>
  <c r="I195" i="3"/>
  <c r="I197" i="3"/>
  <c r="I198" i="3"/>
  <c r="J198" i="3" s="1"/>
  <c r="I207" i="3"/>
  <c r="I209" i="3"/>
  <c r="I210" i="3"/>
  <c r="J210" i="3" s="1"/>
  <c r="I211" i="3"/>
  <c r="J211" i="3" s="1"/>
  <c r="I212" i="3"/>
  <c r="J212" i="3" s="1"/>
  <c r="I213" i="3"/>
  <c r="J213" i="3" s="1"/>
  <c r="I219" i="3"/>
  <c r="I221" i="3"/>
  <c r="I222" i="3"/>
  <c r="J222" i="3" s="1"/>
  <c r="I231" i="3"/>
  <c r="I233" i="3"/>
  <c r="I234" i="3"/>
  <c r="J234" i="3" s="1"/>
  <c r="I243" i="3"/>
  <c r="J243" i="3" s="1"/>
  <c r="I245" i="3"/>
  <c r="I246" i="3"/>
  <c r="J246" i="3" s="1"/>
  <c r="I255" i="3"/>
  <c r="I257" i="3"/>
  <c r="I258" i="3"/>
  <c r="J258" i="3" s="1"/>
  <c r="I259" i="3"/>
  <c r="J259" i="3" s="1"/>
  <c r="I260" i="3"/>
  <c r="J260" i="3" s="1"/>
  <c r="I261" i="3"/>
  <c r="J261" i="3" s="1"/>
  <c r="I262" i="3"/>
  <c r="J262" i="3" s="1"/>
  <c r="I267" i="3"/>
  <c r="I269" i="3"/>
  <c r="I270" i="3"/>
  <c r="J270" i="3" s="1"/>
  <c r="I279" i="3"/>
  <c r="I281" i="3"/>
  <c r="I282" i="3"/>
  <c r="J282" i="3" s="1"/>
  <c r="I283" i="3"/>
  <c r="J283" i="3" s="1"/>
  <c r="I284" i="3"/>
  <c r="J284" i="3" s="1"/>
  <c r="I285" i="3"/>
  <c r="J285" i="3" s="1"/>
  <c r="I291" i="3"/>
  <c r="J291" i="3" s="1"/>
  <c r="B9" i="7" l="1"/>
  <c r="B16" i="7" s="1"/>
  <c r="I4" i="7"/>
  <c r="D9" i="7"/>
  <c r="C9" i="7"/>
  <c r="C16" i="7" s="1"/>
  <c r="B11" i="7"/>
  <c r="B12" i="7" s="1"/>
  <c r="C11" i="7"/>
  <c r="C12" i="7" s="1"/>
  <c r="F47" i="3"/>
  <c r="I226" i="3"/>
  <c r="J226" i="3" s="1"/>
  <c r="F45" i="3"/>
  <c r="I248" i="3"/>
  <c r="J248" i="3" s="1"/>
  <c r="I117" i="3"/>
  <c r="J117" i="3" s="1"/>
  <c r="I56" i="3"/>
  <c r="J56" i="3" s="1"/>
  <c r="F287" i="3"/>
  <c r="F235" i="3"/>
  <c r="F127" i="3"/>
  <c r="F94" i="3"/>
  <c r="F43" i="3"/>
  <c r="F240" i="3"/>
  <c r="F44" i="3"/>
  <c r="I247" i="3"/>
  <c r="J247" i="3" s="1"/>
  <c r="I116" i="3"/>
  <c r="J116" i="3" s="1"/>
  <c r="I55" i="3"/>
  <c r="J55" i="3" s="1"/>
  <c r="F286" i="3"/>
  <c r="F144" i="3"/>
  <c r="F93" i="3"/>
  <c r="F239" i="3"/>
  <c r="F238" i="3"/>
  <c r="F46" i="3"/>
  <c r="F237" i="3"/>
  <c r="F129" i="3"/>
  <c r="I118" i="3"/>
  <c r="J118" i="3" s="1"/>
  <c r="F288" i="3"/>
  <c r="F95" i="3"/>
  <c r="I115" i="3"/>
  <c r="J115" i="3" s="1"/>
  <c r="F143" i="3"/>
  <c r="F92" i="3"/>
  <c r="F48" i="3"/>
  <c r="I227" i="3"/>
  <c r="J227" i="3" s="1"/>
  <c r="I58" i="3"/>
  <c r="J58" i="3" s="1"/>
  <c r="F96" i="3"/>
  <c r="I249" i="3"/>
  <c r="J249" i="3" s="1"/>
  <c r="I57" i="3"/>
  <c r="J57" i="3" s="1"/>
  <c r="F236" i="3"/>
  <c r="F128" i="3"/>
  <c r="I263" i="3"/>
  <c r="J263" i="3" s="1"/>
  <c r="I20" i="3"/>
  <c r="J20" i="3" s="1"/>
  <c r="F142" i="3"/>
  <c r="F91" i="3"/>
  <c r="J2" i="6" a="1"/>
  <c r="J2" i="6" s="1"/>
  <c r="J292" i="6" s="1"/>
  <c r="E70" i="6"/>
  <c r="G70" i="6"/>
  <c r="E72" i="6"/>
  <c r="E36" i="6"/>
  <c r="E34" i="6"/>
  <c r="E179" i="6"/>
  <c r="E178" i="6"/>
  <c r="E288" i="6"/>
  <c r="E144" i="6"/>
  <c r="E215" i="6"/>
  <c r="E214" i="6"/>
  <c r="E180" i="6"/>
  <c r="E287" i="6"/>
  <c r="E143" i="6"/>
  <c r="E286" i="6"/>
  <c r="E142" i="6"/>
  <c r="E108" i="6"/>
  <c r="E216" i="6"/>
  <c r="E252" i="6"/>
  <c r="E251" i="6"/>
  <c r="E107" i="6"/>
  <c r="E250" i="6"/>
  <c r="E106" i="6"/>
  <c r="E289" i="6"/>
  <c r="E253" i="6"/>
  <c r="E217" i="6"/>
  <c r="E181" i="6"/>
  <c r="E145" i="6"/>
  <c r="E109" i="6"/>
  <c r="E73" i="6"/>
  <c r="E37" i="6"/>
  <c r="E71" i="6"/>
  <c r="E35" i="6"/>
  <c r="E277" i="6"/>
  <c r="E241" i="6"/>
  <c r="E205" i="6"/>
  <c r="E169" i="6"/>
  <c r="E133" i="6"/>
  <c r="E97" i="6"/>
  <c r="E61" i="6"/>
  <c r="E25" i="6"/>
  <c r="E276" i="6"/>
  <c r="E240" i="6"/>
  <c r="E204" i="6"/>
  <c r="E168" i="6"/>
  <c r="E132" i="6"/>
  <c r="E96" i="6"/>
  <c r="E60" i="6"/>
  <c r="E24" i="6"/>
  <c r="D229" i="5"/>
  <c r="E275" i="6"/>
  <c r="E239" i="6"/>
  <c r="E203" i="6"/>
  <c r="E167" i="6"/>
  <c r="E131" i="6"/>
  <c r="E95" i="6"/>
  <c r="E59" i="6"/>
  <c r="E23" i="6"/>
  <c r="D203" i="5"/>
  <c r="E274" i="6"/>
  <c r="E238" i="6"/>
  <c r="E202" i="6"/>
  <c r="E166" i="6"/>
  <c r="E130" i="6"/>
  <c r="E94" i="6"/>
  <c r="E58" i="6"/>
  <c r="E22" i="6"/>
  <c r="D145" i="5"/>
  <c r="E265" i="6"/>
  <c r="E229" i="6"/>
  <c r="E193" i="6"/>
  <c r="E157" i="6"/>
  <c r="E121" i="6"/>
  <c r="E85" i="6"/>
  <c r="E49" i="6"/>
  <c r="E13" i="6"/>
  <c r="D107" i="5"/>
  <c r="E264" i="6"/>
  <c r="E228" i="6"/>
  <c r="E192" i="6"/>
  <c r="E156" i="6"/>
  <c r="E120" i="6"/>
  <c r="E84" i="6"/>
  <c r="E48" i="6"/>
  <c r="E12" i="6"/>
  <c r="E263" i="6"/>
  <c r="E227" i="6"/>
  <c r="E191" i="6"/>
  <c r="E155" i="6"/>
  <c r="E119" i="6"/>
  <c r="E83" i="6"/>
  <c r="E47" i="6"/>
  <c r="E11" i="6"/>
  <c r="E262" i="6"/>
  <c r="E226" i="6"/>
  <c r="E190" i="6"/>
  <c r="E154" i="6"/>
  <c r="E118" i="6"/>
  <c r="E82" i="6"/>
  <c r="E46" i="6"/>
  <c r="E10" i="6"/>
  <c r="D106" i="5"/>
  <c r="E285" i="6"/>
  <c r="E273" i="6"/>
  <c r="E261" i="6"/>
  <c r="E249" i="6"/>
  <c r="E237" i="6"/>
  <c r="E225" i="6"/>
  <c r="E213" i="6"/>
  <c r="E201" i="6"/>
  <c r="E189" i="6"/>
  <c r="E177" i="6"/>
  <c r="E165" i="6"/>
  <c r="E153" i="6"/>
  <c r="E141" i="6"/>
  <c r="E129" i="6"/>
  <c r="E117" i="6"/>
  <c r="E105" i="6"/>
  <c r="E93" i="6"/>
  <c r="E81" i="6"/>
  <c r="E69" i="6"/>
  <c r="E57" i="6"/>
  <c r="E45" i="6"/>
  <c r="E33" i="6"/>
  <c r="E21" i="6"/>
  <c r="E9" i="6"/>
  <c r="D98" i="5"/>
  <c r="E284" i="6"/>
  <c r="E272" i="6"/>
  <c r="E260" i="6"/>
  <c r="E248" i="6"/>
  <c r="E236" i="6"/>
  <c r="E224" i="6"/>
  <c r="E212" i="6"/>
  <c r="E200" i="6"/>
  <c r="E188" i="6"/>
  <c r="E176" i="6"/>
  <c r="E164" i="6"/>
  <c r="E152" i="6"/>
  <c r="E140" i="6"/>
  <c r="E128" i="6"/>
  <c r="E116" i="6"/>
  <c r="E104" i="6"/>
  <c r="E92" i="6"/>
  <c r="E80" i="6"/>
  <c r="E68" i="6"/>
  <c r="E56" i="6"/>
  <c r="E44" i="6"/>
  <c r="E32" i="6"/>
  <c r="E20" i="6"/>
  <c r="E8" i="6"/>
  <c r="D63" i="5"/>
  <c r="E283" i="6"/>
  <c r="E271" i="6"/>
  <c r="E259" i="6"/>
  <c r="E247" i="6"/>
  <c r="E235" i="6"/>
  <c r="E223" i="6"/>
  <c r="E211" i="6"/>
  <c r="E199" i="6"/>
  <c r="E187" i="6"/>
  <c r="E175" i="6"/>
  <c r="E163" i="6"/>
  <c r="E151" i="6"/>
  <c r="E139" i="6"/>
  <c r="E127" i="6"/>
  <c r="E115" i="6"/>
  <c r="E103" i="6"/>
  <c r="E91" i="6"/>
  <c r="E79" i="6"/>
  <c r="E67" i="6"/>
  <c r="E55" i="6"/>
  <c r="E43" i="6"/>
  <c r="E31" i="6"/>
  <c r="E19" i="6"/>
  <c r="E7" i="6"/>
  <c r="E282" i="6"/>
  <c r="E270" i="6"/>
  <c r="E258" i="6"/>
  <c r="E246" i="6"/>
  <c r="E234" i="6"/>
  <c r="E222" i="6"/>
  <c r="E210" i="6"/>
  <c r="E198" i="6"/>
  <c r="E186" i="6"/>
  <c r="E174" i="6"/>
  <c r="E162" i="6"/>
  <c r="E150" i="6"/>
  <c r="E138" i="6"/>
  <c r="E126" i="6"/>
  <c r="E114" i="6"/>
  <c r="E102" i="6"/>
  <c r="E90" i="6"/>
  <c r="E78" i="6"/>
  <c r="E66" i="6"/>
  <c r="E54" i="6"/>
  <c r="E42" i="6"/>
  <c r="E30" i="6"/>
  <c r="E18" i="6"/>
  <c r="E6" i="6"/>
  <c r="D268" i="5"/>
  <c r="E281" i="6"/>
  <c r="E269" i="6"/>
  <c r="E257" i="6"/>
  <c r="E245" i="6"/>
  <c r="E233" i="6"/>
  <c r="E221" i="6"/>
  <c r="E209" i="6"/>
  <c r="E197" i="6"/>
  <c r="E185" i="6"/>
  <c r="E173" i="6"/>
  <c r="E161" i="6"/>
  <c r="E149" i="6"/>
  <c r="E137" i="6"/>
  <c r="E125" i="6"/>
  <c r="E113" i="6"/>
  <c r="E101" i="6"/>
  <c r="E89" i="6"/>
  <c r="E77" i="6"/>
  <c r="E65" i="6"/>
  <c r="E53" i="6"/>
  <c r="E41" i="6"/>
  <c r="E29" i="6"/>
  <c r="E17" i="6"/>
  <c r="E5" i="6"/>
  <c r="D242" i="5"/>
  <c r="E2" i="6"/>
  <c r="E280" i="6"/>
  <c r="E268" i="6"/>
  <c r="E256" i="6"/>
  <c r="E244" i="6"/>
  <c r="E232" i="6"/>
  <c r="E220" i="6"/>
  <c r="E208" i="6"/>
  <c r="E196" i="6"/>
  <c r="E184" i="6"/>
  <c r="E172" i="6"/>
  <c r="E160" i="6"/>
  <c r="E148" i="6"/>
  <c r="E136" i="6"/>
  <c r="E124" i="6"/>
  <c r="E112" i="6"/>
  <c r="E100" i="6"/>
  <c r="E88" i="6"/>
  <c r="E76" i="6"/>
  <c r="E64" i="6"/>
  <c r="E52" i="6"/>
  <c r="E40" i="6"/>
  <c r="E28" i="6"/>
  <c r="E16" i="6"/>
  <c r="E4" i="6"/>
  <c r="D231" i="5"/>
  <c r="E291" i="6"/>
  <c r="E279" i="6"/>
  <c r="E267" i="6"/>
  <c r="E255" i="6"/>
  <c r="E243" i="6"/>
  <c r="E231" i="6"/>
  <c r="E219" i="6"/>
  <c r="E207" i="6"/>
  <c r="E195" i="6"/>
  <c r="E183" i="6"/>
  <c r="E171" i="6"/>
  <c r="E159" i="6"/>
  <c r="E147" i="6"/>
  <c r="E135" i="6"/>
  <c r="E123" i="6"/>
  <c r="E111" i="6"/>
  <c r="E99" i="6"/>
  <c r="E87" i="6"/>
  <c r="E75" i="6"/>
  <c r="E63" i="6"/>
  <c r="E51" i="6"/>
  <c r="E39" i="6"/>
  <c r="E27" i="6"/>
  <c r="E15" i="6"/>
  <c r="E3" i="6"/>
  <c r="D230" i="5"/>
  <c r="E290" i="6"/>
  <c r="E278" i="6"/>
  <c r="E266" i="6"/>
  <c r="E254" i="6"/>
  <c r="E242" i="6"/>
  <c r="E230" i="6"/>
  <c r="E218" i="6"/>
  <c r="E206" i="6"/>
  <c r="E194" i="6"/>
  <c r="E182" i="6"/>
  <c r="E170" i="6"/>
  <c r="E158" i="6"/>
  <c r="E146" i="6"/>
  <c r="E134" i="6"/>
  <c r="E122" i="6"/>
  <c r="E110" i="6"/>
  <c r="E98" i="6"/>
  <c r="E86" i="6"/>
  <c r="E74" i="6"/>
  <c r="E62" i="6"/>
  <c r="E50" i="6"/>
  <c r="E38" i="6"/>
  <c r="E26" i="6"/>
  <c r="E14" i="6"/>
  <c r="D87" i="5"/>
  <c r="D192" i="5"/>
  <c r="D48" i="5"/>
  <c r="D191" i="5"/>
  <c r="D47" i="5"/>
  <c r="D190" i="5"/>
  <c r="D46" i="5"/>
  <c r="D286" i="5"/>
  <c r="D148" i="5"/>
  <c r="D40" i="5"/>
  <c r="D275" i="5"/>
  <c r="D147" i="5"/>
  <c r="D37" i="5"/>
  <c r="D274" i="5"/>
  <c r="D146" i="5"/>
  <c r="D267" i="5"/>
  <c r="D228" i="5"/>
  <c r="D184" i="5"/>
  <c r="D86" i="5"/>
  <c r="D131" i="5"/>
  <c r="D290" i="5"/>
  <c r="D251" i="5"/>
  <c r="D207" i="5"/>
  <c r="D168" i="5"/>
  <c r="D120" i="5"/>
  <c r="D64" i="5"/>
  <c r="D289" i="5"/>
  <c r="D250" i="5"/>
  <c r="D206" i="5"/>
  <c r="D167" i="5"/>
  <c r="D109" i="5"/>
  <c r="D288" i="5"/>
  <c r="D244" i="5"/>
  <c r="D205" i="5"/>
  <c r="D159" i="5"/>
  <c r="D108" i="5"/>
  <c r="D62" i="5"/>
  <c r="D59" i="5"/>
  <c r="D23" i="5"/>
  <c r="D142" i="5"/>
  <c r="D266" i="5"/>
  <c r="D264" i="5"/>
  <c r="D292" i="5"/>
  <c r="D253" i="5"/>
  <c r="D170" i="5"/>
  <c r="D124" i="5"/>
  <c r="D76" i="5"/>
  <c r="D22" i="5"/>
  <c r="D227" i="5"/>
  <c r="D183" i="5"/>
  <c r="D85" i="5"/>
  <c r="D220" i="5"/>
  <c r="D181" i="5"/>
  <c r="D130" i="5"/>
  <c r="D84" i="5"/>
  <c r="D214" i="5"/>
  <c r="D291" i="5"/>
  <c r="D252" i="5"/>
  <c r="D208" i="5"/>
  <c r="D169" i="5"/>
  <c r="D123" i="5"/>
  <c r="D70" i="5"/>
  <c r="D26" i="5"/>
  <c r="D25" i="5"/>
  <c r="D24" i="5"/>
  <c r="D166" i="5"/>
  <c r="D144" i="5"/>
  <c r="D122" i="5"/>
  <c r="D100" i="5"/>
  <c r="D83" i="5"/>
  <c r="D61" i="5"/>
  <c r="D39" i="5"/>
  <c r="D287" i="5"/>
  <c r="D265" i="5"/>
  <c r="D243" i="5"/>
  <c r="D226" i="5"/>
  <c r="D204" i="5"/>
  <c r="D182" i="5"/>
  <c r="D160" i="5"/>
  <c r="D143" i="5"/>
  <c r="D121" i="5"/>
  <c r="D99" i="5"/>
  <c r="D82" i="5"/>
  <c r="D60" i="5"/>
  <c r="D38" i="5"/>
  <c r="D16" i="5"/>
  <c r="D15" i="5"/>
  <c r="D280" i="5"/>
  <c r="D263" i="5"/>
  <c r="D241" i="5"/>
  <c r="D219" i="5"/>
  <c r="D202" i="5"/>
  <c r="D180" i="5"/>
  <c r="D158" i="5"/>
  <c r="D136" i="5"/>
  <c r="D119" i="5"/>
  <c r="D97" i="5"/>
  <c r="D75" i="5"/>
  <c r="D58" i="5"/>
  <c r="D36" i="5"/>
  <c r="D14" i="5"/>
  <c r="D279" i="5"/>
  <c r="D262" i="5"/>
  <c r="D240" i="5"/>
  <c r="D218" i="5"/>
  <c r="D196" i="5"/>
  <c r="D179" i="5"/>
  <c r="D157" i="5"/>
  <c r="D135" i="5"/>
  <c r="D118" i="5"/>
  <c r="D96" i="5"/>
  <c r="D74" i="5"/>
  <c r="D52" i="5"/>
  <c r="D35" i="5"/>
  <c r="D13" i="5"/>
  <c r="D278" i="5"/>
  <c r="D256" i="5"/>
  <c r="D239" i="5"/>
  <c r="D217" i="5"/>
  <c r="D195" i="5"/>
  <c r="D178" i="5"/>
  <c r="D156" i="5"/>
  <c r="D134" i="5"/>
  <c r="D112" i="5"/>
  <c r="D95" i="5"/>
  <c r="D73" i="5"/>
  <c r="D51" i="5"/>
  <c r="D34" i="5"/>
  <c r="D12" i="5"/>
  <c r="D277" i="5"/>
  <c r="D255" i="5"/>
  <c r="D238" i="5"/>
  <c r="D216" i="5"/>
  <c r="D194" i="5"/>
  <c r="D172" i="5"/>
  <c r="D155" i="5"/>
  <c r="D133" i="5"/>
  <c r="D111" i="5"/>
  <c r="D94" i="5"/>
  <c r="D72" i="5"/>
  <c r="D50" i="5"/>
  <c r="D28" i="5"/>
  <c r="D11" i="5"/>
  <c r="D276" i="5"/>
  <c r="D254" i="5"/>
  <c r="D232" i="5"/>
  <c r="D215" i="5"/>
  <c r="D193" i="5"/>
  <c r="D171" i="5"/>
  <c r="D154" i="5"/>
  <c r="D132" i="5"/>
  <c r="D110" i="5"/>
  <c r="D88" i="5"/>
  <c r="D71" i="5"/>
  <c r="D49" i="5"/>
  <c r="D27" i="5"/>
  <c r="D10" i="5"/>
  <c r="D285" i="5"/>
  <c r="D273" i="5"/>
  <c r="D261" i="5"/>
  <c r="D249" i="5"/>
  <c r="D237" i="5"/>
  <c r="D225" i="5"/>
  <c r="D213" i="5"/>
  <c r="D201" i="5"/>
  <c r="D189" i="5"/>
  <c r="D177" i="5"/>
  <c r="D165" i="5"/>
  <c r="D153" i="5"/>
  <c r="D141" i="5"/>
  <c r="D129" i="5"/>
  <c r="D117" i="5"/>
  <c r="D105" i="5"/>
  <c r="D93" i="5"/>
  <c r="D81" i="5"/>
  <c r="D69" i="5"/>
  <c r="D57" i="5"/>
  <c r="D45" i="5"/>
  <c r="D33" i="5"/>
  <c r="D21" i="5"/>
  <c r="D9" i="5"/>
  <c r="D284" i="5"/>
  <c r="D272" i="5"/>
  <c r="D260" i="5"/>
  <c r="D248" i="5"/>
  <c r="D236" i="5"/>
  <c r="D224" i="5"/>
  <c r="D212" i="5"/>
  <c r="D200" i="5"/>
  <c r="D188" i="5"/>
  <c r="D176" i="5"/>
  <c r="D164" i="5"/>
  <c r="D152" i="5"/>
  <c r="D140" i="5"/>
  <c r="D128" i="5"/>
  <c r="D116" i="5"/>
  <c r="D104" i="5"/>
  <c r="D92" i="5"/>
  <c r="D80" i="5"/>
  <c r="D68" i="5"/>
  <c r="D56" i="5"/>
  <c r="D44" i="5"/>
  <c r="D32" i="5"/>
  <c r="D20" i="5"/>
  <c r="D8" i="5"/>
  <c r="D283" i="5"/>
  <c r="D271" i="5"/>
  <c r="D259" i="5"/>
  <c r="D247" i="5"/>
  <c r="D235" i="5"/>
  <c r="D223" i="5"/>
  <c r="D211" i="5"/>
  <c r="D199" i="5"/>
  <c r="D187" i="5"/>
  <c r="D175" i="5"/>
  <c r="D163" i="5"/>
  <c r="D151" i="5"/>
  <c r="D139" i="5"/>
  <c r="D127" i="5"/>
  <c r="D115" i="5"/>
  <c r="D103" i="5"/>
  <c r="D91" i="5"/>
  <c r="D79" i="5"/>
  <c r="D67" i="5"/>
  <c r="D55" i="5"/>
  <c r="D43" i="5"/>
  <c r="D31" i="5"/>
  <c r="D19" i="5"/>
  <c r="D7" i="5"/>
  <c r="D4" i="5"/>
  <c r="D282" i="5"/>
  <c r="D270" i="5"/>
  <c r="D258" i="5"/>
  <c r="D246" i="5"/>
  <c r="D234" i="5"/>
  <c r="D222" i="5"/>
  <c r="D210" i="5"/>
  <c r="D198" i="5"/>
  <c r="D186" i="5"/>
  <c r="D174" i="5"/>
  <c r="D162" i="5"/>
  <c r="D150" i="5"/>
  <c r="D138" i="5"/>
  <c r="D126" i="5"/>
  <c r="D114" i="5"/>
  <c r="D102" i="5"/>
  <c r="D90" i="5"/>
  <c r="D78" i="5"/>
  <c r="D66" i="5"/>
  <c r="D54" i="5"/>
  <c r="D42" i="5"/>
  <c r="D30" i="5"/>
  <c r="D18" i="5"/>
  <c r="D6" i="5"/>
  <c r="D293" i="5"/>
  <c r="D281" i="5"/>
  <c r="D269" i="5"/>
  <c r="D257" i="5"/>
  <c r="D245" i="5"/>
  <c r="D233" i="5"/>
  <c r="D221" i="5"/>
  <c r="D209" i="5"/>
  <c r="D197" i="5"/>
  <c r="D185" i="5"/>
  <c r="D173" i="5"/>
  <c r="D161" i="5"/>
  <c r="D149" i="5"/>
  <c r="D137" i="5"/>
  <c r="D125" i="5"/>
  <c r="D113" i="5"/>
  <c r="D101" i="5"/>
  <c r="D89" i="5"/>
  <c r="D77" i="5"/>
  <c r="D65" i="5"/>
  <c r="D53" i="5"/>
  <c r="D41" i="5"/>
  <c r="D29" i="5"/>
  <c r="D17" i="5"/>
  <c r="F108" i="3"/>
  <c r="F251" i="3"/>
  <c r="F10" i="3"/>
  <c r="I131" i="3"/>
  <c r="J131" i="3" s="1"/>
  <c r="I70" i="3"/>
  <c r="J70" i="3" s="1"/>
  <c r="F264" i="3"/>
  <c r="F120" i="3"/>
  <c r="I202" i="3"/>
  <c r="J202" i="3" s="1"/>
  <c r="I130" i="3"/>
  <c r="J130" i="3" s="1"/>
  <c r="I69" i="3"/>
  <c r="J69" i="3" s="1"/>
  <c r="I8" i="3"/>
  <c r="J8" i="3" s="1"/>
  <c r="F215" i="3"/>
  <c r="F200" i="3"/>
  <c r="F167" i="3"/>
  <c r="F119" i="3"/>
  <c r="F104" i="3"/>
  <c r="F71" i="3"/>
  <c r="F23" i="3"/>
  <c r="F7" i="3"/>
  <c r="I9" i="3"/>
  <c r="J9" i="3" s="1"/>
  <c r="F201" i="3"/>
  <c r="F105" i="3"/>
  <c r="I274" i="3"/>
  <c r="J274" i="3" s="1"/>
  <c r="I166" i="3"/>
  <c r="J166" i="3" s="1"/>
  <c r="I165" i="3"/>
  <c r="J165" i="3" s="1"/>
  <c r="I68" i="3"/>
  <c r="J68" i="3" s="1"/>
  <c r="F214" i="3"/>
  <c r="F199" i="3"/>
  <c r="F22" i="3"/>
  <c r="F204" i="3"/>
  <c r="F60" i="3"/>
  <c r="F107" i="3"/>
  <c r="F59" i="3"/>
  <c r="F11" i="3"/>
  <c r="F250" i="3"/>
  <c r="F106" i="3"/>
  <c r="I275" i="3"/>
  <c r="J275" i="3" s="1"/>
  <c r="F216" i="3"/>
  <c r="F24" i="3"/>
  <c r="I164" i="3"/>
  <c r="J164" i="3" s="1"/>
  <c r="I67" i="3"/>
  <c r="J67" i="3" s="1"/>
  <c r="F276" i="3"/>
  <c r="F228" i="3"/>
  <c r="F180" i="3"/>
  <c r="F132" i="3"/>
  <c r="F84" i="3"/>
  <c r="F36" i="3"/>
  <c r="F21" i="3"/>
  <c r="F156" i="3"/>
  <c r="F203" i="3"/>
  <c r="F168" i="3"/>
  <c r="F72" i="3"/>
  <c r="I179" i="3"/>
  <c r="J179" i="3" s="1"/>
  <c r="I163" i="3"/>
  <c r="J163" i="3" s="1"/>
  <c r="F83" i="3"/>
  <c r="F35" i="3"/>
  <c r="F252" i="3"/>
  <c r="F12" i="3"/>
  <c r="I178" i="3"/>
  <c r="J178" i="3" s="1"/>
  <c r="I82" i="3"/>
  <c r="J82" i="3" s="1"/>
  <c r="I6" i="3"/>
  <c r="J6" i="3" s="1"/>
  <c r="I4" i="3"/>
  <c r="J4" i="3" s="1"/>
  <c r="I290" i="3"/>
  <c r="J290" i="3" s="1"/>
  <c r="I278" i="3"/>
  <c r="J278" i="3" s="1"/>
  <c r="I266" i="3"/>
  <c r="J266" i="3" s="1"/>
  <c r="I254" i="3"/>
  <c r="J254" i="3" s="1"/>
  <c r="I242" i="3"/>
  <c r="J242" i="3" s="1"/>
  <c r="I230" i="3"/>
  <c r="J230" i="3" s="1"/>
  <c r="I218" i="3"/>
  <c r="J218" i="3" s="1"/>
  <c r="I206" i="3"/>
  <c r="J206" i="3" s="1"/>
  <c r="I194" i="3"/>
  <c r="J194" i="3" s="1"/>
  <c r="I182" i="3"/>
  <c r="J182" i="3" s="1"/>
  <c r="I170" i="3"/>
  <c r="J170" i="3" s="1"/>
  <c r="I158" i="3"/>
  <c r="J158" i="3" s="1"/>
  <c r="I146" i="3"/>
  <c r="J146" i="3" s="1"/>
  <c r="I134" i="3"/>
  <c r="J134" i="3" s="1"/>
  <c r="I122" i="3"/>
  <c r="J122" i="3" s="1"/>
  <c r="I110" i="3"/>
  <c r="J110" i="3" s="1"/>
  <c r="I98" i="3"/>
  <c r="J98" i="3" s="1"/>
  <c r="I86" i="3"/>
  <c r="J86" i="3" s="1"/>
  <c r="I74" i="3"/>
  <c r="J74" i="3" s="1"/>
  <c r="I62" i="3"/>
  <c r="J62" i="3" s="1"/>
  <c r="I50" i="3"/>
  <c r="J50" i="3" s="1"/>
  <c r="I38" i="3"/>
  <c r="J38" i="3" s="1"/>
  <c r="I26" i="3"/>
  <c r="J26" i="3" s="1"/>
  <c r="I14" i="3"/>
  <c r="J14" i="3" s="1"/>
  <c r="I2" i="3"/>
  <c r="J2" i="3" s="1"/>
  <c r="I289" i="3"/>
  <c r="J289" i="3" s="1"/>
  <c r="I277" i="3"/>
  <c r="J277" i="3" s="1"/>
  <c r="I265" i="3"/>
  <c r="J265" i="3" s="1"/>
  <c r="I253" i="3"/>
  <c r="J253" i="3" s="1"/>
  <c r="I241" i="3"/>
  <c r="J241" i="3" s="1"/>
  <c r="I229" i="3"/>
  <c r="J229" i="3" s="1"/>
  <c r="I217" i="3"/>
  <c r="J217" i="3" s="1"/>
  <c r="I205" i="3"/>
  <c r="J205" i="3" s="1"/>
  <c r="I193" i="3"/>
  <c r="J193" i="3" s="1"/>
  <c r="I181" i="3"/>
  <c r="J181" i="3" s="1"/>
  <c r="I169" i="3"/>
  <c r="J169" i="3" s="1"/>
  <c r="I157" i="3"/>
  <c r="J157" i="3" s="1"/>
  <c r="I145" i="3"/>
  <c r="J145" i="3" s="1"/>
  <c r="I133" i="3"/>
  <c r="J133" i="3" s="1"/>
  <c r="I121" i="3"/>
  <c r="J121" i="3" s="1"/>
  <c r="I109" i="3"/>
  <c r="J109" i="3" s="1"/>
  <c r="I97" i="3"/>
  <c r="J97" i="3" s="1"/>
  <c r="I85" i="3"/>
  <c r="J85" i="3" s="1"/>
  <c r="I73" i="3"/>
  <c r="J73" i="3" s="1"/>
  <c r="I61" i="3"/>
  <c r="J61" i="3" s="1"/>
  <c r="I49" i="3"/>
  <c r="J49" i="3" s="1"/>
  <c r="I37" i="3"/>
  <c r="J37" i="3" s="1"/>
  <c r="I25" i="3"/>
  <c r="J25" i="3" s="1"/>
  <c r="I13" i="3"/>
  <c r="J13" i="3" s="1"/>
  <c r="D16" i="7" l="1"/>
  <c r="D11" i="7"/>
  <c r="D12" i="7" s="1"/>
  <c r="K70" i="6"/>
  <c r="L70" i="6" s="1"/>
  <c r="K39" i="6"/>
  <c r="L39" i="6" s="1"/>
  <c r="G39" i="6"/>
  <c r="G281" i="6"/>
  <c r="K281" i="6"/>
  <c r="L281" i="6" s="1"/>
  <c r="K260" i="6"/>
  <c r="L260" i="6" s="1"/>
  <c r="G260" i="6"/>
  <c r="K250" i="6"/>
  <c r="L250" i="6" s="1"/>
  <c r="G250" i="6"/>
  <c r="K195" i="6"/>
  <c r="L195" i="6" s="1"/>
  <c r="G195" i="6"/>
  <c r="K117" i="6"/>
  <c r="L117" i="6" s="1"/>
  <c r="G117" i="6"/>
  <c r="G107" i="6"/>
  <c r="K107" i="6"/>
  <c r="L107" i="6" s="1"/>
  <c r="K50" i="6"/>
  <c r="L50" i="6" s="1"/>
  <c r="G50" i="6"/>
  <c r="K194" i="6"/>
  <c r="L194" i="6" s="1"/>
  <c r="G194" i="6"/>
  <c r="K27" i="6"/>
  <c r="L27" i="6" s="1"/>
  <c r="G27" i="6"/>
  <c r="K171" i="6"/>
  <c r="L171" i="6" s="1"/>
  <c r="G171" i="6"/>
  <c r="K4" i="6"/>
  <c r="L4" i="6" s="1"/>
  <c r="G4" i="6"/>
  <c r="K148" i="6"/>
  <c r="L148" i="6" s="1"/>
  <c r="G148" i="6"/>
  <c r="G2" i="6"/>
  <c r="K125" i="6"/>
  <c r="L125" i="6" s="1"/>
  <c r="G125" i="6"/>
  <c r="G269" i="6"/>
  <c r="K269" i="6"/>
  <c r="L269" i="6" s="1"/>
  <c r="K114" i="6"/>
  <c r="L114" i="6" s="1"/>
  <c r="G114" i="6"/>
  <c r="G258" i="6"/>
  <c r="K258" i="6"/>
  <c r="L258" i="6" s="1"/>
  <c r="G115" i="6"/>
  <c r="K115" i="6"/>
  <c r="L115" i="6" s="1"/>
  <c r="K259" i="6"/>
  <c r="L259" i="6" s="1"/>
  <c r="G259" i="6"/>
  <c r="G104" i="6"/>
  <c r="K104" i="6"/>
  <c r="L104" i="6" s="1"/>
  <c r="K248" i="6"/>
  <c r="L248" i="6" s="1"/>
  <c r="G248" i="6"/>
  <c r="G93" i="6"/>
  <c r="K93" i="6"/>
  <c r="L93" i="6" s="1"/>
  <c r="G237" i="6"/>
  <c r="K237" i="6"/>
  <c r="L237" i="6" s="1"/>
  <c r="K226" i="6"/>
  <c r="L226" i="6" s="1"/>
  <c r="G226" i="6"/>
  <c r="K84" i="6"/>
  <c r="L84" i="6" s="1"/>
  <c r="G84" i="6"/>
  <c r="K193" i="6"/>
  <c r="L193" i="6" s="1"/>
  <c r="G193" i="6"/>
  <c r="K96" i="6"/>
  <c r="L96" i="6" s="1"/>
  <c r="G96" i="6"/>
  <c r="K241" i="6"/>
  <c r="L241" i="6" s="1"/>
  <c r="G241" i="6"/>
  <c r="K106" i="6"/>
  <c r="L106" i="6" s="1"/>
  <c r="G106" i="6"/>
  <c r="G214" i="6"/>
  <c r="K214" i="6"/>
  <c r="L214" i="6" s="1"/>
  <c r="K229" i="6"/>
  <c r="L229" i="6" s="1"/>
  <c r="G229" i="6"/>
  <c r="K28" i="6"/>
  <c r="L28" i="6" s="1"/>
  <c r="G28" i="6"/>
  <c r="G139" i="6"/>
  <c r="K139" i="6"/>
  <c r="L139" i="6" s="1"/>
  <c r="K35" i="6"/>
  <c r="L35" i="6" s="1"/>
  <c r="G35" i="6"/>
  <c r="K230" i="6"/>
  <c r="L230" i="6" s="1"/>
  <c r="G230" i="6"/>
  <c r="K184" i="6"/>
  <c r="L184" i="6" s="1"/>
  <c r="G184" i="6"/>
  <c r="G150" i="6"/>
  <c r="K150" i="6"/>
  <c r="L150" i="6" s="1"/>
  <c r="K151" i="6"/>
  <c r="L151" i="6" s="1"/>
  <c r="G151" i="6"/>
  <c r="K129" i="6"/>
  <c r="L129" i="6" s="1"/>
  <c r="G129" i="6"/>
  <c r="K204" i="6"/>
  <c r="L204" i="6" s="1"/>
  <c r="G204" i="6"/>
  <c r="K98" i="6"/>
  <c r="L98" i="6" s="1"/>
  <c r="G98" i="6"/>
  <c r="K242" i="6"/>
  <c r="L242" i="6" s="1"/>
  <c r="G242" i="6"/>
  <c r="K75" i="6"/>
  <c r="L75" i="6" s="1"/>
  <c r="G75" i="6"/>
  <c r="K219" i="6"/>
  <c r="L219" i="6" s="1"/>
  <c r="G219" i="6"/>
  <c r="K52" i="6"/>
  <c r="L52" i="6" s="1"/>
  <c r="G52" i="6"/>
  <c r="K196" i="6"/>
  <c r="L196" i="6" s="1"/>
  <c r="G196" i="6"/>
  <c r="K29" i="6"/>
  <c r="L29" i="6" s="1"/>
  <c r="G29" i="6"/>
  <c r="G173" i="6"/>
  <c r="K173" i="6"/>
  <c r="L173" i="6" s="1"/>
  <c r="K18" i="6"/>
  <c r="L18" i="6" s="1"/>
  <c r="G18" i="6"/>
  <c r="G162" i="6"/>
  <c r="K162" i="6"/>
  <c r="L162" i="6" s="1"/>
  <c r="G19" i="6"/>
  <c r="K19" i="6"/>
  <c r="L19" i="6" s="1"/>
  <c r="K163" i="6"/>
  <c r="L163" i="6" s="1"/>
  <c r="G163" i="6"/>
  <c r="G8" i="6"/>
  <c r="K8" i="6"/>
  <c r="L8" i="6" s="1"/>
  <c r="K152" i="6"/>
  <c r="L152" i="6" s="1"/>
  <c r="G152" i="6"/>
  <c r="G141" i="6"/>
  <c r="K141" i="6"/>
  <c r="L141" i="6" s="1"/>
  <c r="G285" i="6"/>
  <c r="K285" i="6"/>
  <c r="L285" i="6" s="1"/>
  <c r="K83" i="6"/>
  <c r="L83" i="6" s="1"/>
  <c r="G83" i="6"/>
  <c r="K228" i="6"/>
  <c r="L228" i="6" s="1"/>
  <c r="G228" i="6"/>
  <c r="K22" i="6"/>
  <c r="L22" i="6" s="1"/>
  <c r="G22" i="6"/>
  <c r="K131" i="6"/>
  <c r="L131" i="6" s="1"/>
  <c r="G131" i="6"/>
  <c r="K240" i="6"/>
  <c r="L240" i="6" s="1"/>
  <c r="G240" i="6"/>
  <c r="K37" i="6"/>
  <c r="L37" i="6" s="1"/>
  <c r="G37" i="6"/>
  <c r="K252" i="6"/>
  <c r="L252" i="6" s="1"/>
  <c r="G252" i="6"/>
  <c r="K178" i="6"/>
  <c r="L178" i="6" s="1"/>
  <c r="G178" i="6"/>
  <c r="K183" i="6"/>
  <c r="L183" i="6" s="1"/>
  <c r="G183" i="6"/>
  <c r="G127" i="6"/>
  <c r="K127" i="6"/>
  <c r="L127" i="6" s="1"/>
  <c r="G116" i="6"/>
  <c r="K116" i="6"/>
  <c r="L116" i="6" s="1"/>
  <c r="K23" i="6"/>
  <c r="L23" i="6" s="1"/>
  <c r="G23" i="6"/>
  <c r="K218" i="6"/>
  <c r="L218" i="6" s="1"/>
  <c r="G218" i="6"/>
  <c r="G282" i="6"/>
  <c r="K282" i="6"/>
  <c r="L282" i="6" s="1"/>
  <c r="G261" i="6"/>
  <c r="K261" i="6"/>
  <c r="L261" i="6" s="1"/>
  <c r="K168" i="6"/>
  <c r="L168" i="6" s="1"/>
  <c r="G168" i="6"/>
  <c r="G95" i="6"/>
  <c r="K95" i="6"/>
  <c r="L95" i="6" s="1"/>
  <c r="K110" i="6"/>
  <c r="L110" i="6" s="1"/>
  <c r="G110" i="6"/>
  <c r="K254" i="6"/>
  <c r="L254" i="6" s="1"/>
  <c r="G254" i="6"/>
  <c r="K87" i="6"/>
  <c r="L87" i="6" s="1"/>
  <c r="G87" i="6"/>
  <c r="K231" i="6"/>
  <c r="L231" i="6" s="1"/>
  <c r="G231" i="6"/>
  <c r="K64" i="6"/>
  <c r="L64" i="6" s="1"/>
  <c r="G64" i="6"/>
  <c r="K208" i="6"/>
  <c r="L208" i="6" s="1"/>
  <c r="G208" i="6"/>
  <c r="K41" i="6"/>
  <c r="L41" i="6" s="1"/>
  <c r="G41" i="6"/>
  <c r="G185" i="6"/>
  <c r="K185" i="6"/>
  <c r="L185" i="6" s="1"/>
  <c r="K30" i="6"/>
  <c r="L30" i="6" s="1"/>
  <c r="G30" i="6"/>
  <c r="G174" i="6"/>
  <c r="K174" i="6"/>
  <c r="L174" i="6" s="1"/>
  <c r="G31" i="6"/>
  <c r="K31" i="6"/>
  <c r="L31" i="6" s="1"/>
  <c r="K175" i="6"/>
  <c r="L175" i="6" s="1"/>
  <c r="G175" i="6"/>
  <c r="G20" i="6"/>
  <c r="K20" i="6"/>
  <c r="L20" i="6" s="1"/>
  <c r="K164" i="6"/>
  <c r="L164" i="6" s="1"/>
  <c r="G164" i="6"/>
  <c r="G9" i="6"/>
  <c r="K9" i="6"/>
  <c r="L9" i="6" s="1"/>
  <c r="K153" i="6"/>
  <c r="L153" i="6" s="1"/>
  <c r="G153" i="6"/>
  <c r="K119" i="6"/>
  <c r="L119" i="6" s="1"/>
  <c r="G119" i="6"/>
  <c r="K264" i="6"/>
  <c r="L264" i="6" s="1"/>
  <c r="G264" i="6"/>
  <c r="G58" i="6"/>
  <c r="K58" i="6"/>
  <c r="L58" i="6" s="1"/>
  <c r="G167" i="6"/>
  <c r="K167" i="6"/>
  <c r="L167" i="6" s="1"/>
  <c r="K276" i="6"/>
  <c r="L276" i="6" s="1"/>
  <c r="G276" i="6"/>
  <c r="K73" i="6"/>
  <c r="L73" i="6" s="1"/>
  <c r="G73" i="6"/>
  <c r="K216" i="6"/>
  <c r="L216" i="6" s="1"/>
  <c r="G216" i="6"/>
  <c r="K16" i="6"/>
  <c r="L16" i="6" s="1"/>
  <c r="G16" i="6"/>
  <c r="G270" i="6"/>
  <c r="K270" i="6"/>
  <c r="L270" i="6" s="1"/>
  <c r="K249" i="6"/>
  <c r="L249" i="6" s="1"/>
  <c r="G249" i="6"/>
  <c r="G215" i="6"/>
  <c r="K215" i="6"/>
  <c r="L215" i="6" s="1"/>
  <c r="G149" i="6"/>
  <c r="K149" i="6"/>
  <c r="L149" i="6" s="1"/>
  <c r="G128" i="6"/>
  <c r="K128" i="6"/>
  <c r="L128" i="6" s="1"/>
  <c r="K59" i="6"/>
  <c r="L59" i="6" s="1"/>
  <c r="G59" i="6"/>
  <c r="K63" i="6"/>
  <c r="L63" i="6" s="1"/>
  <c r="G63" i="6"/>
  <c r="K122" i="6"/>
  <c r="L122" i="6" s="1"/>
  <c r="G122" i="6"/>
  <c r="K266" i="6"/>
  <c r="L266" i="6" s="1"/>
  <c r="G266" i="6"/>
  <c r="K99" i="6"/>
  <c r="L99" i="6" s="1"/>
  <c r="G99" i="6"/>
  <c r="K243" i="6"/>
  <c r="L243" i="6" s="1"/>
  <c r="G243" i="6"/>
  <c r="K76" i="6"/>
  <c r="L76" i="6" s="1"/>
  <c r="G76" i="6"/>
  <c r="K220" i="6"/>
  <c r="L220" i="6" s="1"/>
  <c r="G220" i="6"/>
  <c r="K53" i="6"/>
  <c r="L53" i="6" s="1"/>
  <c r="G53" i="6"/>
  <c r="G197" i="6"/>
  <c r="K197" i="6"/>
  <c r="L197" i="6" s="1"/>
  <c r="K42" i="6"/>
  <c r="L42" i="6" s="1"/>
  <c r="G42" i="6"/>
  <c r="G186" i="6"/>
  <c r="K186" i="6"/>
  <c r="L186" i="6" s="1"/>
  <c r="G43" i="6"/>
  <c r="K43" i="6"/>
  <c r="L43" i="6" s="1"/>
  <c r="K187" i="6"/>
  <c r="L187" i="6" s="1"/>
  <c r="G187" i="6"/>
  <c r="G32" i="6"/>
  <c r="K32" i="6"/>
  <c r="L32" i="6" s="1"/>
  <c r="K176" i="6"/>
  <c r="L176" i="6" s="1"/>
  <c r="G176" i="6"/>
  <c r="G21" i="6"/>
  <c r="K21" i="6"/>
  <c r="L21" i="6" s="1"/>
  <c r="G165" i="6"/>
  <c r="K165" i="6"/>
  <c r="L165" i="6" s="1"/>
  <c r="K10" i="6"/>
  <c r="L10" i="6" s="1"/>
  <c r="G10" i="6"/>
  <c r="K155" i="6"/>
  <c r="L155" i="6" s="1"/>
  <c r="G155" i="6"/>
  <c r="G94" i="6"/>
  <c r="K94" i="6"/>
  <c r="L94" i="6" s="1"/>
  <c r="K203" i="6"/>
  <c r="L203" i="6" s="1"/>
  <c r="G203" i="6"/>
  <c r="K25" i="6"/>
  <c r="L25" i="6" s="1"/>
  <c r="G25" i="6"/>
  <c r="K109" i="6"/>
  <c r="L109" i="6" s="1"/>
  <c r="G109" i="6"/>
  <c r="K108" i="6"/>
  <c r="L108" i="6" s="1"/>
  <c r="G108" i="6"/>
  <c r="K179" i="6"/>
  <c r="L179" i="6" s="1"/>
  <c r="G179" i="6"/>
  <c r="K62" i="6"/>
  <c r="L62" i="6" s="1"/>
  <c r="G62" i="6"/>
  <c r="G137" i="6"/>
  <c r="K137" i="6"/>
  <c r="L137" i="6" s="1"/>
  <c r="K271" i="6"/>
  <c r="L271" i="6" s="1"/>
  <c r="G271" i="6"/>
  <c r="K277" i="6"/>
  <c r="L277" i="6" s="1"/>
  <c r="G277" i="6"/>
  <c r="K74" i="6"/>
  <c r="L74" i="6" s="1"/>
  <c r="G74" i="6"/>
  <c r="K172" i="6"/>
  <c r="L172" i="6" s="1"/>
  <c r="G172" i="6"/>
  <c r="G138" i="6"/>
  <c r="K138" i="6"/>
  <c r="L138" i="6" s="1"/>
  <c r="K272" i="6"/>
  <c r="L272" i="6" s="1"/>
  <c r="G272" i="6"/>
  <c r="K265" i="6"/>
  <c r="L265" i="6" s="1"/>
  <c r="G265" i="6"/>
  <c r="K192" i="6"/>
  <c r="L192" i="6" s="1"/>
  <c r="G192" i="6"/>
  <c r="K134" i="6"/>
  <c r="L134" i="6" s="1"/>
  <c r="G134" i="6"/>
  <c r="K278" i="6"/>
  <c r="L278" i="6" s="1"/>
  <c r="G278" i="6"/>
  <c r="K111" i="6"/>
  <c r="L111" i="6" s="1"/>
  <c r="G111" i="6"/>
  <c r="K255" i="6"/>
  <c r="L255" i="6" s="1"/>
  <c r="G255" i="6"/>
  <c r="K88" i="6"/>
  <c r="L88" i="6" s="1"/>
  <c r="G88" i="6"/>
  <c r="K232" i="6"/>
  <c r="L232" i="6" s="1"/>
  <c r="G232" i="6"/>
  <c r="K65" i="6"/>
  <c r="L65" i="6" s="1"/>
  <c r="G65" i="6"/>
  <c r="G209" i="6"/>
  <c r="K209" i="6"/>
  <c r="L209" i="6" s="1"/>
  <c r="K54" i="6"/>
  <c r="L54" i="6" s="1"/>
  <c r="G54" i="6"/>
  <c r="G198" i="6"/>
  <c r="K198" i="6"/>
  <c r="L198" i="6" s="1"/>
  <c r="G55" i="6"/>
  <c r="K55" i="6"/>
  <c r="L55" i="6" s="1"/>
  <c r="K199" i="6"/>
  <c r="L199" i="6" s="1"/>
  <c r="G199" i="6"/>
  <c r="G44" i="6"/>
  <c r="K44" i="6"/>
  <c r="L44" i="6" s="1"/>
  <c r="K188" i="6"/>
  <c r="L188" i="6" s="1"/>
  <c r="G188" i="6"/>
  <c r="G33" i="6"/>
  <c r="K33" i="6"/>
  <c r="L33" i="6" s="1"/>
  <c r="K177" i="6"/>
  <c r="L177" i="6" s="1"/>
  <c r="G177" i="6"/>
  <c r="K46" i="6"/>
  <c r="L46" i="6" s="1"/>
  <c r="G46" i="6"/>
  <c r="G191" i="6"/>
  <c r="K191" i="6"/>
  <c r="L191" i="6" s="1"/>
  <c r="K13" i="6"/>
  <c r="L13" i="6" s="1"/>
  <c r="G13" i="6"/>
  <c r="K130" i="6"/>
  <c r="L130" i="6" s="1"/>
  <c r="G130" i="6"/>
  <c r="G239" i="6"/>
  <c r="K239" i="6"/>
  <c r="L239" i="6" s="1"/>
  <c r="K61" i="6"/>
  <c r="L61" i="6" s="1"/>
  <c r="G61" i="6"/>
  <c r="K145" i="6"/>
  <c r="L145" i="6" s="1"/>
  <c r="G145" i="6"/>
  <c r="G142" i="6"/>
  <c r="K142" i="6"/>
  <c r="L142" i="6" s="1"/>
  <c r="G34" i="6"/>
  <c r="K34" i="6"/>
  <c r="L34" i="6" s="1"/>
  <c r="K160" i="6"/>
  <c r="L160" i="6" s="1"/>
  <c r="G160" i="6"/>
  <c r="K86" i="6"/>
  <c r="L86" i="6" s="1"/>
  <c r="G86" i="6"/>
  <c r="K40" i="6"/>
  <c r="L40" i="6" s="1"/>
  <c r="G40" i="6"/>
  <c r="G161" i="6"/>
  <c r="K161" i="6"/>
  <c r="L161" i="6" s="1"/>
  <c r="G7" i="6"/>
  <c r="K7" i="6"/>
  <c r="L7" i="6" s="1"/>
  <c r="K273" i="6"/>
  <c r="L273" i="6" s="1"/>
  <c r="G273" i="6"/>
  <c r="K288" i="6"/>
  <c r="L288" i="6" s="1"/>
  <c r="G288" i="6"/>
  <c r="K146" i="6"/>
  <c r="L146" i="6" s="1"/>
  <c r="G146" i="6"/>
  <c r="K290" i="6"/>
  <c r="L290" i="6" s="1"/>
  <c r="G290" i="6"/>
  <c r="K123" i="6"/>
  <c r="L123" i="6" s="1"/>
  <c r="G123" i="6"/>
  <c r="K267" i="6"/>
  <c r="L267" i="6" s="1"/>
  <c r="G267" i="6"/>
  <c r="K100" i="6"/>
  <c r="L100" i="6" s="1"/>
  <c r="G100" i="6"/>
  <c r="K244" i="6"/>
  <c r="L244" i="6" s="1"/>
  <c r="G244" i="6"/>
  <c r="K77" i="6"/>
  <c r="L77" i="6" s="1"/>
  <c r="G77" i="6"/>
  <c r="G221" i="6"/>
  <c r="K221" i="6"/>
  <c r="L221" i="6" s="1"/>
  <c r="K66" i="6"/>
  <c r="L66" i="6" s="1"/>
  <c r="G66" i="6"/>
  <c r="G210" i="6"/>
  <c r="K210" i="6"/>
  <c r="L210" i="6" s="1"/>
  <c r="G67" i="6"/>
  <c r="K67" i="6"/>
  <c r="L67" i="6" s="1"/>
  <c r="K211" i="6"/>
  <c r="L211" i="6" s="1"/>
  <c r="G211" i="6"/>
  <c r="G56" i="6"/>
  <c r="K56" i="6"/>
  <c r="L56" i="6" s="1"/>
  <c r="K200" i="6"/>
  <c r="L200" i="6" s="1"/>
  <c r="G200" i="6"/>
  <c r="G45" i="6"/>
  <c r="K45" i="6"/>
  <c r="L45" i="6" s="1"/>
  <c r="G189" i="6"/>
  <c r="K189" i="6"/>
  <c r="L189" i="6" s="1"/>
  <c r="K82" i="6"/>
  <c r="L82" i="6" s="1"/>
  <c r="G82" i="6"/>
  <c r="K227" i="6"/>
  <c r="L227" i="6" s="1"/>
  <c r="G227" i="6"/>
  <c r="K49" i="6"/>
  <c r="L49" i="6" s="1"/>
  <c r="G49" i="6"/>
  <c r="G166" i="6"/>
  <c r="K166" i="6"/>
  <c r="L166" i="6" s="1"/>
  <c r="K275" i="6"/>
  <c r="L275" i="6" s="1"/>
  <c r="G275" i="6"/>
  <c r="K97" i="6"/>
  <c r="L97" i="6" s="1"/>
  <c r="G97" i="6"/>
  <c r="K181" i="6"/>
  <c r="L181" i="6" s="1"/>
  <c r="G181" i="6"/>
  <c r="G286" i="6"/>
  <c r="K286" i="6"/>
  <c r="L286" i="6" s="1"/>
  <c r="K36" i="6"/>
  <c r="L36" i="6" s="1"/>
  <c r="G36" i="6"/>
  <c r="G262" i="6"/>
  <c r="K262" i="6"/>
  <c r="L262" i="6" s="1"/>
  <c r="K51" i="6"/>
  <c r="L51" i="6" s="1"/>
  <c r="G51" i="6"/>
  <c r="K156" i="6"/>
  <c r="L156" i="6" s="1"/>
  <c r="G156" i="6"/>
  <c r="K17" i="6"/>
  <c r="L17" i="6" s="1"/>
  <c r="G17" i="6"/>
  <c r="G140" i="6"/>
  <c r="K140" i="6"/>
  <c r="L140" i="6" s="1"/>
  <c r="K251" i="6"/>
  <c r="L251" i="6" s="1"/>
  <c r="G251" i="6"/>
  <c r="K14" i="6"/>
  <c r="L14" i="6" s="1"/>
  <c r="G14" i="6"/>
  <c r="K158" i="6"/>
  <c r="L158" i="6" s="1"/>
  <c r="G158" i="6"/>
  <c r="K135" i="6"/>
  <c r="L135" i="6" s="1"/>
  <c r="G135" i="6"/>
  <c r="K279" i="6"/>
  <c r="L279" i="6" s="1"/>
  <c r="G279" i="6"/>
  <c r="K112" i="6"/>
  <c r="L112" i="6" s="1"/>
  <c r="G112" i="6"/>
  <c r="K256" i="6"/>
  <c r="L256" i="6" s="1"/>
  <c r="G256" i="6"/>
  <c r="K89" i="6"/>
  <c r="L89" i="6" s="1"/>
  <c r="G89" i="6"/>
  <c r="G233" i="6"/>
  <c r="K233" i="6"/>
  <c r="L233" i="6" s="1"/>
  <c r="K78" i="6"/>
  <c r="L78" i="6" s="1"/>
  <c r="G78" i="6"/>
  <c r="G222" i="6"/>
  <c r="K222" i="6"/>
  <c r="L222" i="6" s="1"/>
  <c r="G79" i="6"/>
  <c r="K79" i="6"/>
  <c r="L79" i="6" s="1"/>
  <c r="K223" i="6"/>
  <c r="L223" i="6" s="1"/>
  <c r="G223" i="6"/>
  <c r="G68" i="6"/>
  <c r="K68" i="6"/>
  <c r="L68" i="6" s="1"/>
  <c r="K212" i="6"/>
  <c r="L212" i="6" s="1"/>
  <c r="G212" i="6"/>
  <c r="G57" i="6"/>
  <c r="K57" i="6"/>
  <c r="L57" i="6" s="1"/>
  <c r="K201" i="6"/>
  <c r="L201" i="6" s="1"/>
  <c r="G201" i="6"/>
  <c r="G118" i="6"/>
  <c r="K118" i="6"/>
  <c r="L118" i="6" s="1"/>
  <c r="G263" i="6"/>
  <c r="K263" i="6"/>
  <c r="L263" i="6" s="1"/>
  <c r="K85" i="6"/>
  <c r="L85" i="6" s="1"/>
  <c r="G85" i="6"/>
  <c r="K202" i="6"/>
  <c r="L202" i="6" s="1"/>
  <c r="G202" i="6"/>
  <c r="K133" i="6"/>
  <c r="L133" i="6" s="1"/>
  <c r="G133" i="6"/>
  <c r="K217" i="6"/>
  <c r="L217" i="6" s="1"/>
  <c r="G217" i="6"/>
  <c r="G143" i="6"/>
  <c r="K143" i="6"/>
  <c r="L143" i="6" s="1"/>
  <c r="K72" i="6"/>
  <c r="L72" i="6" s="1"/>
  <c r="G72" i="6"/>
  <c r="K206" i="6"/>
  <c r="L206" i="6" s="1"/>
  <c r="G206" i="6"/>
  <c r="K126" i="6"/>
  <c r="L126" i="6" s="1"/>
  <c r="G126" i="6"/>
  <c r="K105" i="6"/>
  <c r="L105" i="6" s="1"/>
  <c r="G105" i="6"/>
  <c r="K132" i="6"/>
  <c r="L132" i="6" s="1"/>
  <c r="G132" i="6"/>
  <c r="K5" i="6"/>
  <c r="L5" i="6" s="1"/>
  <c r="G5" i="6"/>
  <c r="K283" i="6"/>
  <c r="L283" i="6" s="1"/>
  <c r="G283" i="6"/>
  <c r="K144" i="6"/>
  <c r="L144" i="6" s="1"/>
  <c r="G144" i="6"/>
  <c r="K47" i="6"/>
  <c r="L47" i="6" s="1"/>
  <c r="G47" i="6"/>
  <c r="K26" i="6"/>
  <c r="L26" i="6" s="1"/>
  <c r="G26" i="6"/>
  <c r="K170" i="6"/>
  <c r="L170" i="6" s="1"/>
  <c r="G170" i="6"/>
  <c r="K3" i="6"/>
  <c r="L3" i="6" s="1"/>
  <c r="G3" i="6"/>
  <c r="K147" i="6"/>
  <c r="L147" i="6" s="1"/>
  <c r="G147" i="6"/>
  <c r="K291" i="6"/>
  <c r="L291" i="6" s="1"/>
  <c r="H8" i="7" s="1"/>
  <c r="I8" i="7" s="1"/>
  <c r="G291" i="6"/>
  <c r="K124" i="6"/>
  <c r="L124" i="6" s="1"/>
  <c r="G124" i="6"/>
  <c r="K268" i="6"/>
  <c r="L268" i="6" s="1"/>
  <c r="G268" i="6"/>
  <c r="K101" i="6"/>
  <c r="L101" i="6" s="1"/>
  <c r="G101" i="6"/>
  <c r="G245" i="6"/>
  <c r="K245" i="6"/>
  <c r="L245" i="6" s="1"/>
  <c r="K90" i="6"/>
  <c r="L90" i="6" s="1"/>
  <c r="G90" i="6"/>
  <c r="G234" i="6"/>
  <c r="K234" i="6"/>
  <c r="L234" i="6" s="1"/>
  <c r="G91" i="6"/>
  <c r="K91" i="6"/>
  <c r="L91" i="6" s="1"/>
  <c r="K235" i="6"/>
  <c r="L235" i="6" s="1"/>
  <c r="G235" i="6"/>
  <c r="G80" i="6"/>
  <c r="K80" i="6"/>
  <c r="L80" i="6" s="1"/>
  <c r="K224" i="6"/>
  <c r="L224" i="6" s="1"/>
  <c r="G224" i="6"/>
  <c r="G69" i="6"/>
  <c r="K69" i="6"/>
  <c r="L69" i="6" s="1"/>
  <c r="G213" i="6"/>
  <c r="K213" i="6"/>
  <c r="L213" i="6" s="1"/>
  <c r="K154" i="6"/>
  <c r="L154" i="6" s="1"/>
  <c r="G154" i="6"/>
  <c r="K12" i="6"/>
  <c r="L12" i="6" s="1"/>
  <c r="G12" i="6"/>
  <c r="K121" i="6"/>
  <c r="L121" i="6" s="1"/>
  <c r="G121" i="6"/>
  <c r="G238" i="6"/>
  <c r="K238" i="6"/>
  <c r="L238" i="6" s="1"/>
  <c r="K24" i="6"/>
  <c r="L24" i="6" s="1"/>
  <c r="G24" i="6"/>
  <c r="K169" i="6"/>
  <c r="L169" i="6" s="1"/>
  <c r="G169" i="6"/>
  <c r="K253" i="6"/>
  <c r="L253" i="6" s="1"/>
  <c r="G253" i="6"/>
  <c r="G287" i="6"/>
  <c r="K287" i="6"/>
  <c r="L287" i="6" s="1"/>
  <c r="K120" i="6"/>
  <c r="L120" i="6" s="1"/>
  <c r="G120" i="6"/>
  <c r="K11" i="6"/>
  <c r="L11" i="6" s="1"/>
  <c r="G11" i="6"/>
  <c r="K207" i="6"/>
  <c r="L207" i="6" s="1"/>
  <c r="G207" i="6"/>
  <c r="K6" i="6"/>
  <c r="L6" i="6" s="1"/>
  <c r="G6" i="6"/>
  <c r="K284" i="6"/>
  <c r="L284" i="6" s="1"/>
  <c r="G284" i="6"/>
  <c r="K71" i="6"/>
  <c r="L71" i="6" s="1"/>
  <c r="G71" i="6"/>
  <c r="K38" i="6"/>
  <c r="L38" i="6" s="1"/>
  <c r="G38" i="6"/>
  <c r="K182" i="6"/>
  <c r="L182" i="6" s="1"/>
  <c r="G182" i="6"/>
  <c r="K15" i="6"/>
  <c r="L15" i="6" s="1"/>
  <c r="G15" i="6"/>
  <c r="K159" i="6"/>
  <c r="L159" i="6" s="1"/>
  <c r="G159" i="6"/>
  <c r="G136" i="6"/>
  <c r="K136" i="6"/>
  <c r="L136" i="6" s="1"/>
  <c r="K280" i="6"/>
  <c r="L280" i="6" s="1"/>
  <c r="G280" i="6"/>
  <c r="K113" i="6"/>
  <c r="L113" i="6" s="1"/>
  <c r="G113" i="6"/>
  <c r="G257" i="6"/>
  <c r="K257" i="6"/>
  <c r="L257" i="6" s="1"/>
  <c r="K102" i="6"/>
  <c r="L102" i="6" s="1"/>
  <c r="G102" i="6"/>
  <c r="G246" i="6"/>
  <c r="K246" i="6"/>
  <c r="L246" i="6" s="1"/>
  <c r="G103" i="6"/>
  <c r="K103" i="6"/>
  <c r="L103" i="6" s="1"/>
  <c r="K247" i="6"/>
  <c r="L247" i="6" s="1"/>
  <c r="G247" i="6"/>
  <c r="G92" i="6"/>
  <c r="K92" i="6"/>
  <c r="L92" i="6" s="1"/>
  <c r="K236" i="6"/>
  <c r="L236" i="6" s="1"/>
  <c r="G236" i="6"/>
  <c r="K81" i="6"/>
  <c r="L81" i="6" s="1"/>
  <c r="G81" i="6"/>
  <c r="K225" i="6"/>
  <c r="L225" i="6" s="1"/>
  <c r="G225" i="6"/>
  <c r="G190" i="6"/>
  <c r="K190" i="6"/>
  <c r="L190" i="6" s="1"/>
  <c r="K48" i="6"/>
  <c r="L48" i="6" s="1"/>
  <c r="G48" i="6"/>
  <c r="K157" i="6"/>
  <c r="L157" i="6" s="1"/>
  <c r="G157" i="6"/>
  <c r="K274" i="6"/>
  <c r="L274" i="6" s="1"/>
  <c r="G274" i="6"/>
  <c r="K60" i="6"/>
  <c r="L60" i="6" s="1"/>
  <c r="G60" i="6"/>
  <c r="K205" i="6"/>
  <c r="L205" i="6" s="1"/>
  <c r="G205" i="6"/>
  <c r="K289" i="6"/>
  <c r="L289" i="6" s="1"/>
  <c r="G289" i="6"/>
  <c r="K180" i="6"/>
  <c r="L180" i="6" s="1"/>
  <c r="G180" i="6"/>
  <c r="G292" i="6" l="1"/>
  <c r="L2" i="6"/>
  <c r="K292" i="6"/>
  <c r="H292" i="6" l="1"/>
  <c r="H5" i="7"/>
  <c r="I5" i="7" s="1"/>
  <c r="L292" i="6"/>
  <c r="H9" i="7" s="1"/>
  <c r="I9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2E8635-B5B6-4312-92DB-DF216ACFBAC1}" keepAlive="1" name="Query - historical_actuals" description="Connection to the 'historical_actuals' query in the workbook." type="5" refreshedVersion="8" background="1" saveData="1">
    <dbPr connection="Provider=Microsoft.Mashup.OleDb.1;Data Source=$Workbook$;Location=historical_actuals;Extended Properties=&quot;&quot;" command="SELECT * FROM [historical_actuals]"/>
  </connection>
  <connection id="2" xr16:uid="{72981CD8-A0BA-4192-AF7C-7E52DEF0E34B}" keepAlive="1" name="Query - historical_actuals (2)" description="Connection to the 'historical_actuals (2)' query in the workbook." type="5" refreshedVersion="8" background="1" saveData="1">
    <dbPr connection="Provider=Microsoft.Mashup.OleDb.1;Data Source=$Workbook$;Location=&quot;historical_actuals (2)&quot;;Extended Properties=&quot;&quot;" command="SELECT * FROM [historical_actual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<sst xmlns="http://schemas.openxmlformats.org/spreadsheetml/2006/main" count="1243" uniqueCount="88">
  <si>
    <t>month_year</t>
  </si>
  <si>
    <t>store_id</t>
  </si>
  <si>
    <t>net_sales</t>
  </si>
  <si>
    <t>cogs</t>
  </si>
  <si>
    <t>labour_cost</t>
  </si>
  <si>
    <t>operating_expenses</t>
  </si>
  <si>
    <t>Jan-25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</si>
  <si>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</si>
  <si>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</si>
  <si>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</si>
  <si>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</si>
  <si>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</si>
  <si>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</si>
  <si>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</si>
  <si>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</si>
  <si>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</si>
  <si>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</si>
  <si>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</si>
  <si>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</si>
  <si>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</si>
  <si>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</si>
  <si>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</si>
  <si>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</si>
  <si>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</si>
  <si>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</si>
  <si>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</si>
  <si>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</si>
  <si>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</si>
  <si>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ST022</t>
  </si>
  <si>
    <t>Feb-25</t>
  </si>
  <si>
    <t>Mar-25</t>
  </si>
  <si>
    <t>ST023</t>
  </si>
  <si>
    <t>ST025</t>
  </si>
  <si>
    <t>Apr-25</t>
  </si>
  <si>
    <t>May-25</t>
  </si>
  <si>
    <t>Jun-25</t>
  </si>
  <si>
    <t>Jul-25</t>
  </si>
  <si>
    <t>ST024</t>
  </si>
  <si>
    <t>Aug-25</t>
  </si>
  <si>
    <t>Sep-25</t>
  </si>
  <si>
    <t>Oct-25</t>
  </si>
  <si>
    <t>Nov-25</t>
  </si>
  <si>
    <t>Dec-25</t>
  </si>
  <si>
    <t>gross_profit</t>
  </si>
  <si>
    <t>gross_margin_%</t>
  </si>
  <si>
    <t>operating_profit</t>
  </si>
  <si>
    <t>operating_margin_%</t>
  </si>
  <si>
    <t>Assumption</t>
  </si>
  <si>
    <t>Downside</t>
  </si>
  <si>
    <t>Base</t>
  </si>
  <si>
    <t>Upside</t>
  </si>
  <si>
    <t>Sales Growth %</t>
  </si>
  <si>
    <t>COGS Inflation %</t>
  </si>
  <si>
    <t>Labour Cost Increase %</t>
  </si>
  <si>
    <t>Operating Expense Increase %</t>
  </si>
  <si>
    <t>Selected Scenario</t>
  </si>
  <si>
    <t>Selected Value</t>
  </si>
  <si>
    <t>2025_sales</t>
  </si>
  <si>
    <t>planned_sales_2026</t>
  </si>
  <si>
    <t>2025_cogs</t>
  </si>
  <si>
    <t>planned_sales</t>
  </si>
  <si>
    <t>planned_cogs</t>
  </si>
  <si>
    <t>planned_gross_profit</t>
  </si>
  <si>
    <t>gross_margin</t>
  </si>
  <si>
    <t>planned_labour_cost</t>
  </si>
  <si>
    <t>planned_operating_expenses</t>
  </si>
  <si>
    <t>Metric</t>
  </si>
  <si>
    <t>2025 Actual</t>
  </si>
  <si>
    <t>2026 Base Plan</t>
  </si>
  <si>
    <t>Change</t>
  </si>
  <si>
    <t>Sales</t>
  </si>
  <si>
    <t>Gross Profit</t>
  </si>
  <si>
    <t>Gross Margin %</t>
  </si>
  <si>
    <t>Operating Profit</t>
  </si>
  <si>
    <t>Operating Margin %</t>
  </si>
  <si>
    <t>2025 Actual vs 2026 Base Plan (Total for all Stores)</t>
  </si>
  <si>
    <t>Operating margin</t>
  </si>
  <si>
    <t>Total</t>
  </si>
  <si>
    <t>Gross Margin</t>
  </si>
  <si>
    <t>Planned Sales</t>
  </si>
  <si>
    <t>Planned COGS</t>
  </si>
  <si>
    <t>Operating Expenses</t>
  </si>
  <si>
    <t>Labour Cost</t>
  </si>
  <si>
    <t>2026 Downside</t>
  </si>
  <si>
    <t>2026 Base</t>
  </si>
  <si>
    <t>2026 Upside</t>
  </si>
  <si>
    <t xml:space="preserve">Management Summary </t>
  </si>
  <si>
    <t>Key Takaway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</si>
</sst>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;[Red]\-&quot;£&quot;#,##0"/>
    <numFmt numFmtId="8" formatCode="&quot;£&quot;#,##0.00;[Red]\-&quot;£&quot;#,##0.00"/>
    <numFmt numFmtId="44" formatCode="_-&quot;£&quot;* #,##0.00_-;\-&quot;£&quot;* #,##0.00_-;_-&quot;£&quot;* &quot;-&quot;??_-;_-@_-"/>
    <numFmt numFmtId="164" formatCode="&quot;£&quot;#,###.00"/>
    <numFmt numFmtId="165" formatCode="&quot;£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vertical="center" wrapText="1"/>
    </xf>
    <xf numFmtId="165" fontId="0" fillId="0" borderId="0" xfId="0" applyNumberFormat="1"/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/>
    <xf numFmtId="17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 wrapText="1"/>
    </xf>
    <xf numFmtId="6" fontId="0" fillId="0" borderId="1" xfId="0" applyNumberFormat="1" applyBorder="1" applyAlignment="1">
      <alignment horizontal="right" vertical="center" wrapText="1"/>
    </xf>
    <xf numFmtId="6" fontId="0" fillId="0" borderId="1" xfId="0" applyNumberFormat="1" applyBorder="1"/>
    <xf numFmtId="10" fontId="0" fillId="0" borderId="1" xfId="0" applyNumberFormat="1" applyBorder="1"/>
    <xf numFmtId="165" fontId="0" fillId="0" borderId="1" xfId="0" applyNumberFormat="1" applyBorder="1"/>
    <xf numFmtId="8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10" fontId="0" fillId="0" borderId="0" xfId="2" applyNumberFormat="1" applyFont="1"/>
    <xf numFmtId="0" fontId="2" fillId="0" borderId="0" xfId="0" applyFont="1" applyAlignment="1">
      <alignment vertical="center" wrapText="1"/>
    </xf>
    <xf numFmtId="0" fontId="2" fillId="5" borderId="1" xfId="0" applyFont="1" applyFill="1" applyBorder="1"/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/>
    <xf numFmtId="0" fontId="7" fillId="0" borderId="0" xfId="0" applyFont="1"/>
    <xf numFmtId="165" fontId="2" fillId="0" borderId="0" xfId="0" applyNumberFormat="1" applyFont="1"/>
    <xf numFmtId="10" fontId="2" fillId="0" borderId="0" xfId="0" applyNumberFormat="1" applyFont="1"/>
    <xf numFmtId="0" fontId="2" fillId="2" borderId="1" xfId="0" applyFont="1" applyFill="1" applyBorder="1" applyAlignment="1">
      <alignment vertical="center" wrapText="1"/>
    </xf>
    <xf numFmtId="0" fontId="0" fillId="7" borderId="0" xfId="0" applyFill="1"/>
    <xf numFmtId="0" fontId="0" fillId="7" borderId="7" xfId="0" applyFill="1" applyBorder="1"/>
    <xf numFmtId="0" fontId="0" fillId="7" borderId="1" xfId="0" applyFill="1" applyBorder="1" applyAlignment="1">
      <alignment vertical="center" wrapText="1"/>
    </xf>
    <xf numFmtId="9" fontId="0" fillId="7" borderId="1" xfId="0" applyNumberForma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horizontal="left" vertical="center" wrapText="1"/>
    </xf>
    <xf numFmtId="165" fontId="0" fillId="7" borderId="1" xfId="1" applyNumberFormat="1" applyFont="1" applyFill="1" applyBorder="1"/>
    <xf numFmtId="10" fontId="0" fillId="7" borderId="1" xfId="2" applyNumberFormat="1" applyFont="1" applyFill="1" applyBorder="1"/>
    <xf numFmtId="0" fontId="2" fillId="7" borderId="1" xfId="0" applyFont="1" applyFill="1" applyBorder="1" applyAlignment="1">
      <alignment horizontal="left"/>
    </xf>
    <xf numFmtId="10" fontId="0" fillId="7" borderId="1" xfId="0" applyNumberFormat="1" applyFill="1" applyBorder="1"/>
    <xf numFmtId="0" fontId="2" fillId="7" borderId="1" xfId="0" applyFont="1" applyFill="1" applyBorder="1" applyAlignment="1">
      <alignment vertical="center" wrapText="1"/>
    </xf>
    <xf numFmtId="165" fontId="0" fillId="7" borderId="1" xfId="0" applyNumberFormat="1" applyFill="1" applyBorder="1"/>
    <xf numFmtId="0" fontId="0" fillId="7" borderId="6" xfId="0" applyFill="1" applyBorder="1"/>
    <xf numFmtId="0" fontId="2" fillId="7" borderId="0" xfId="0" applyFont="1" applyFill="1" applyAlignment="1">
      <alignment vertical="center" wrapText="1"/>
    </xf>
    <xf numFmtId="0" fontId="2" fillId="7" borderId="0" xfId="0" applyFont="1" applyFill="1"/>
    <xf numFmtId="0" fontId="2" fillId="7" borderId="6" xfId="0" applyFont="1" applyFill="1" applyBorder="1"/>
    <xf numFmtId="0" fontId="0" fillId="7" borderId="0" xfId="0" applyFill="1" applyAlignment="1">
      <alignment vertical="center" wrapText="1"/>
    </xf>
    <xf numFmtId="165" fontId="0" fillId="7" borderId="0" xfId="0" applyNumberFormat="1" applyFill="1"/>
    <xf numFmtId="165" fontId="0" fillId="7" borderId="6" xfId="0" applyNumberFormat="1" applyFill="1" applyBorder="1"/>
    <xf numFmtId="0" fontId="0" fillId="7" borderId="7" xfId="0" applyFill="1" applyBorder="1" applyAlignment="1">
      <alignment vertical="center" wrapText="1"/>
    </xf>
    <xf numFmtId="10" fontId="0" fillId="7" borderId="7" xfId="2" applyNumberFormat="1" applyFont="1" applyFill="1" applyBorder="1"/>
    <xf numFmtId="10" fontId="0" fillId="7" borderId="8" xfId="2" applyNumberFormat="1" applyFont="1" applyFill="1" applyBorder="1"/>
    <xf numFmtId="0" fontId="0" fillId="7" borderId="5" xfId="0" applyFill="1" applyBorder="1"/>
    <xf numFmtId="0" fontId="0" fillId="7" borderId="9" xfId="0" applyFill="1" applyBorder="1"/>
    <xf numFmtId="0" fontId="0" fillId="7" borderId="8" xfId="0" applyFill="1" applyBorder="1"/>
    <xf numFmtId="0" fontId="2" fillId="7" borderId="10" xfId="0" applyFont="1" applyFill="1" applyBorder="1" applyAlignment="1">
      <alignment vertical="center" wrapText="1"/>
    </xf>
    <xf numFmtId="10" fontId="0" fillId="7" borderId="10" xfId="2" applyNumberFormat="1" applyFont="1" applyFill="1" applyBorder="1"/>
    <xf numFmtId="0" fontId="0" fillId="6" borderId="0" xfId="0" applyFill="1" applyAlignment="1">
      <alignment horizontal="left"/>
    </xf>
    <xf numFmtId="0" fontId="0" fillId="6" borderId="6" xfId="0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2" fillId="7" borderId="7" xfId="0" applyFont="1" applyFill="1" applyBorder="1" applyAlignment="1">
      <alignment horizontal="left"/>
    </xf>
    <xf numFmtId="0" fontId="2" fillId="7" borderId="9" xfId="0" applyFont="1" applyFill="1" applyBorder="1" applyAlignment="1">
      <alignment horizontal="left"/>
    </xf>
    <xf numFmtId="0" fontId="2" fillId="7" borderId="8" xfId="0" applyFont="1" applyFill="1" applyBorder="1" applyAlignment="1">
      <alignment horizontal="left"/>
    </xf>
  </cellXfs>
  <cellStyles count="3">
    <cellStyle name="Currency" xfId="1" builtinId="4"/>
    <cellStyle name="Normal" xfId="0" builtinId="0"/>
    <cellStyle name="Per cent" xfId="2" builtinId="5"/>
  </cellStyles>
  <dxfs count="22"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164" formatCode="&quot;£&quot;#,###.00"/>
    </dxf>
    <dxf>
      <numFmt numFmtId="164" formatCode="&quot;£&quot;#,###.00"/>
    </dxf>
    <dxf>
      <numFmt numFmtId="164" formatCode="&quot;£&quot;#,###.00"/>
    </dxf>
    <dxf>
      <numFmt numFmtId="164" formatCode="&quot;£&quot;#,###.00"/>
    </dxf>
    <dxf>
      <numFmt numFmtId="164" formatCode="&quot;£&quot;#,###.00"/>
    </dxf>
    <dxf>
      <numFmt numFmtId="164" formatCode="&quot;£&quot;#,###.00"/>
    </dxf>
    <dxf>
      <numFmt numFmtId="14" formatCode="0.00%"/>
    </dxf>
    <dxf>
      <numFmt numFmtId="14" formatCode="0.00%"/>
    </dxf>
    <dxf>
      <numFmt numFmtId="164" formatCode="&quot;£&quot;#,###.00"/>
    </dxf>
    <dxf>
      <numFmt numFmtId="164" formatCode="&quot;£&quot;#,###.00"/>
    </dxf>
    <dxf>
      <numFmt numFmtId="164" formatCode="&quot;£&quot;#,###.00"/>
    </dxf>
    <dxf>
      <numFmt numFmtId="164" formatCode="&quot;£&quot;#,###.00"/>
    </dxf>
    <dxf>
      <numFmt numFmtId="164" formatCode="&quot;£&quot;#,###.00"/>
    </dxf>
    <dxf>
      <numFmt numFmtId="164" formatCode="&quot;£&quot;#,###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Operating Profit by Scenario (2026)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B3-4DA7-8F00-C8542706C9F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B3-4DA7-8F00-C8542706C9F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B3-4DA7-8F00-C8542706C9F6}"/>
              </c:ext>
            </c:extLst>
          </c:dPt>
          <c:dLbls>
            <c:numFmt formatCode="&quot;£&quot;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Management_Summary!$B$8:$D$8</c:f>
              <c:strCache>
                <c:ptCount val="3"/>
                <c:pt idx="0">
                  <c:v>2026 Downside</c:v>
                </c:pt>
                <c:pt idx="1">
                  <c:v>2026 Base</c:v>
                </c:pt>
                <c:pt idx="2">
                  <c:v>2026 Upside</c:v>
                </c:pt>
              </c:strCache>
            </c:strRef>
          </c:cat>
          <c:val>
            <c:numRef>
              <c:f>Management_Summary!$B$15:$D$15</c:f>
              <c:numCache>
                <c:formatCode>"£"#,##0.00</c:formatCode>
                <c:ptCount val="3"/>
                <c:pt idx="0">
                  <c:v>34615630.74120006</c:v>
                </c:pt>
                <c:pt idx="1">
                  <c:v>47364525.357499965</c:v>
                </c:pt>
                <c:pt idx="2">
                  <c:v>58439331.934399992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7-4F90-ADF8-73B8704FFE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5408703"/>
        <c:axId val="1186146639"/>
      </c:barChart>
      <c:catAx>
        <c:axId val="111540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146639"/>
        <c:crosses val="autoZero"/>
        <c:auto val="1"/>
        <c:lblAlgn val="ctr"/>
        <c:lblOffset val="100"/>
        <c:noMultiLvlLbl val="0"/>
      </c:catAx>
      <c:valAx>
        <c:axId val="118614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0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Total</a:t>
            </a:r>
            <a:r>
              <a:rPr lang="en-GB" sz="1200" b="1" baseline="0">
                <a:solidFill>
                  <a:sysClr val="windowText" lastClr="000000"/>
                </a:solidFill>
              </a:rPr>
              <a:t> Sales: 2025 Actual vs 2026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5B-470F-9933-EFB9D45C782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5B-470F-9933-EFB9D45C782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F8-4A38-98D2-C4E9C2387A8F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F8-4A38-98D2-C4E9C2387A8F}"/>
              </c:ext>
            </c:extLst>
          </c:dPt>
          <c:dLbls>
            <c:dLbl>
              <c:idx val="2"/>
              <c:numFmt formatCode="&quot;£&quot;0,,\ 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3600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666334468695213"/>
                      <c:h val="6.35052424165626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3F8-4A38-98D2-C4E9C2387A8F}"/>
                </c:ext>
              </c:extLst>
            </c:dLbl>
            <c:numFmt formatCode="&quot;£&quot;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(Management_Summary!$B$8:$D$8,Management_Summary!$G$3)</c:f>
              <c:strCache>
                <c:ptCount val="4"/>
                <c:pt idx="0">
                  <c:v>2026 Downside</c:v>
                </c:pt>
                <c:pt idx="1">
                  <c:v>2026 Base</c:v>
                </c:pt>
                <c:pt idx="2">
                  <c:v>2026 Upside</c:v>
                </c:pt>
                <c:pt idx="3">
                  <c:v>2025 Actual</c:v>
                </c:pt>
              </c:strCache>
            </c:strRef>
          </c:cat>
          <c:val>
            <c:numRef>
              <c:f>(Management_Summary!$B$9:$D$9,Management_Summary!$G$4)</c:f>
              <c:numCache>
                <c:formatCode>"£"#,##0.00</c:formatCode>
                <c:ptCount val="4"/>
                <c:pt idx="0">
                  <c:v>465103697.80000001</c:v>
                </c:pt>
                <c:pt idx="1">
                  <c:v>488833478.30000001</c:v>
                </c:pt>
                <c:pt idx="2">
                  <c:v>503071346.60000002</c:v>
                </c:pt>
                <c:pt idx="3">
                  <c:v>474595610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8-4A38-98D2-C4E9C2387A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2032591"/>
        <c:axId val="1186217199"/>
      </c:barChart>
      <c:catAx>
        <c:axId val="136203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217199"/>
        <c:crosses val="autoZero"/>
        <c:auto val="1"/>
        <c:lblAlgn val="ctr"/>
        <c:lblOffset val="100"/>
        <c:noMultiLvlLbl val="0"/>
      </c:catAx>
      <c:valAx>
        <c:axId val="118621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0325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1163782</xdr:colOff>
      <xdr:row>9</xdr:row>
      <xdr:rowOff>76896</xdr:rowOff>
    </xdr:from>
    <xdr:to>
      <xdr:col>8</xdr:col>
      <xdr:colOff>893618</xdr:colOff>
      <xdr:row>20</xdr:row>
      <xdr:rowOff>27709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BB77C8-0158-17BE-CF68-7BBD18773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138544</xdr:colOff>
      <xdr:row>9</xdr:row>
      <xdr:rowOff>58879</xdr:rowOff>
    </xdr:from>
    <xdr:to>
      <xdr:col>6</xdr:col>
      <xdr:colOff>1115292</xdr:colOff>
      <xdr:row>20</xdr:row>
      <xdr:rowOff>20781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B728BDD-8FAE-46F0-296B-41BC37104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191F42-4B4A-49CD-896F-CD3A20BD82FA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month_year" tableColumnId="1"/>
      <queryTableField id="2" name="store_id" tableColumnId="2"/>
      <queryTableField id="3" name="net_sales" tableColumnId="3"/>
      <queryTableField id="4" name="cogs" tableColumnId="4"/>
      <queryTableField id="10" dataBound="0" tableColumnId="10"/>
      <queryTableField id="9" dataBound="0" tableColumnId="9"/>
      <queryTableField id="5" name="labour_cost" tableColumnId="5"/>
      <queryTableField id="6" name="operating_expenses" tableColumnId="6"/>
      <queryTableField id="7" dataBound="0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55D03A-A004-4AA8-AE33-89C0BFA12F50}" autoFormatId="16" applyNumberFormats="0" applyBorderFormats="0" applyFontFormats="0" applyPatternFormats="0" applyAlignmentFormats="0" applyWidthHeightFormats="0">
  <queryTableRefresh nextId="7">
    <queryTableFields count="6">
      <queryTableField id="1" name="month_year" tableColumnId="1"/>
      <queryTableField id="2" name="store_id" tableColumnId="2"/>
      <queryTableField id="3" name="net_sales" tableColumnId="3"/>
      <queryTableField id="4" name="cogs" tableColumnId="4"/>
      <queryTableField id="5" name="labour_cost" tableColumnId="5"/>
      <queryTableField id="6" name="operating_expens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0CF5F1-A343-4435-8EEC-3AB62A23E201}" name="historical_actuals3" displayName="historical_actuals3" ref="A1:J292" tableType="queryTable" totalsRowCount="1">
  <autoFilter ref="A1:J291" xr:uid="{B00CF5F1-A343-4435-8EEC-3AB62A23E201}"/>
  <tableColumns count="10">
    <tableColumn id="1" xr3:uid="{575BAEEA-0CBC-4E24-A1D9-096D69B8D452}" uniqueName="1" name="month_year" totalsRowLabel="Total" queryTableFieldId="1" dataDxfId="21" totalsRowDxfId="20"/>
    <tableColumn id="2" xr3:uid="{4B8DF332-35AA-4C35-B048-035985663F30}" uniqueName="2" name="store_id" queryTableFieldId="2" dataDxfId="19" totalsRowDxfId="18"/>
    <tableColumn id="3" xr3:uid="{9A6EC4CA-621C-47E9-8050-964E9CEEBCFE}" uniqueName="3" name="net_sales" totalsRowFunction="sum" queryTableFieldId="3" dataDxfId="17" totalsRowDxfId="16"/>
    <tableColumn id="4" xr3:uid="{06AEACAB-0DDF-438F-9EB8-4E0920FE93AE}" uniqueName="4" name="cogs" totalsRowFunction="sum" queryTableFieldId="4" dataDxfId="15" totalsRowDxfId="14"/>
    <tableColumn id="10" xr3:uid="{F546C2F0-653E-427B-BEC0-09D293A64685}" uniqueName="10" name="gross_profit" totalsRowFunction="sum" queryTableFieldId="10" dataDxfId="13" totalsRowDxfId="12">
      <calculatedColumnFormula>historical_actuals3[[#This Row],[net_sales]]-historical_actuals3[[#This Row],[cogs]]</calculatedColumnFormula>
    </tableColumn>
    <tableColumn id="9" xr3:uid="{C4F5DDDE-4A27-4BC2-A5D6-92132BCDE0A1}" uniqueName="9" name="gross_margin_%" totalsRowFunction="custom" queryTableFieldId="9" dataDxfId="11" totalsRowDxfId="10">
      <calculatedColumnFormula>IFERROR(historical_actuals3[[#This Row],[gross_profit]]/historical_actuals3[[#This Row],[net_sales]],0)</calculatedColumnFormula>
      <totalsRowFormula>historical_actuals3[[#Totals],[gross_profit]]/historical_actuals3[[#Totals],[net_sales]]</totalsRowFormula>
    </tableColumn>
    <tableColumn id="5" xr3:uid="{86408D38-1A86-465F-9D83-F2D79FDF5816}" uniqueName="5" name="labour_cost" totalsRowFunction="sum" queryTableFieldId="5" dataDxfId="9" totalsRowDxfId="8"/>
    <tableColumn id="6" xr3:uid="{426FEC11-910E-4D51-A5E3-D9817B951A58}" uniqueName="6" name="operating_expenses" totalsRowFunction="sum" queryTableFieldId="6" dataDxfId="7" totalsRowDxfId="6"/>
    <tableColumn id="7" xr3:uid="{FEE044EC-EB4A-4328-B241-FE957B3245B9}" uniqueName="7" name="operating_profit" totalsRowFunction="sum" queryTableFieldId="7" dataDxfId="5" totalsRowDxfId="4">
      <calculatedColumnFormula>historical_actuals3[[#This Row],[gross_profit]]-historical_actuals3[[#This Row],[labour_cost]]-historical_actuals3[[#This Row],[operating_expenses]]</calculatedColumnFormula>
    </tableColumn>
    <tableColumn id="8" xr3:uid="{BB4C6A18-B25B-41C5-9FCD-3AAC30232330}" uniqueName="8" name="operating_margin_%" totalsRowFunction="custom" queryTableFieldId="8" dataDxfId="3" totalsRowDxfId="2">
      <calculatedColumnFormula>IFERROR(historical_actuals3[[#This Row],[operating_profit]]/historical_actuals3[[#This Row],[net_sales]],0)</calculatedColumnFormula>
      <totalsRowFormula>historical_actuals3[[#Totals],[operating_profit]]/historical_actuals3[[#Totals],[net_sales]]</totalsRow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2D4DB-5E44-4339-B1E5-7B3A6D27645F}" name="historical_actuals" displayName="historical_actuals" ref="A1:F291" tableType="queryTable" totalsRowShown="0">
  <autoFilter ref="A1:F291" xr:uid="{B852D4DB-5E44-4339-B1E5-7B3A6D27645F}"/>
  <tableColumns count="6">
    <tableColumn id="1" xr3:uid="{33A38B8C-8B24-4340-AEFC-442B15DA9094}" uniqueName="1" name="month_year" queryTableFieldId="1" dataDxfId="1"/>
    <tableColumn id="2" xr3:uid="{A1729A1B-6954-42A7-8828-76A7D1CDD0ED}" uniqueName="2" name="store_id" queryTableFieldId="2" dataDxfId="0"/>
    <tableColumn id="3" xr3:uid="{5CE64E43-0316-4D09-BA91-926A18B9080A}" uniqueName="3" name="net_sales" queryTableFieldId="3"/>
    <tableColumn id="4" xr3:uid="{5F7CCD24-4C47-49C7-87AB-8C95D2C90AD5}" uniqueName="4" name="cogs" queryTableFieldId="4"/>
    <tableColumn id="5" xr3:uid="{80D7D563-2E06-4583-A198-D4D54A27EF07}" uniqueName="5" name="labour_cost" queryTableFieldId="5"/>
    <tableColumn id="6" xr3:uid="{248A6CDA-53D1-4865-BFB5-9727604C2FEC}" uniqueName="6" name="operating_expenses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F8EA-C576-429E-A3CC-B17B1384A5E0}">
  <dimension ref="A1:J25"/>
  <sheetViews>
    <sheetView showGridLines="0" topLeftCell="B1" zoomScale="110" zoomScaleNormal="110" workbookViewId="0">
      <selection activeCell="I7" sqref="I7"/>
    </sheetView>
  </sheetViews>
  <sheetFormatPr defaultRowHeight="14.4" x14ac:dyDescent="0.3"/>
  <cols>
    <col min="1" max="1" width="25.6640625" customWidth="1"/>
    <col min="2" max="2" width="16.77734375" customWidth="1"/>
    <col min="3" max="3" width="17.5546875" customWidth="1"/>
    <col min="4" max="4" width="17.6640625" customWidth="1"/>
    <col min="5" max="5" width="2.109375" customWidth="1"/>
    <col min="6" max="6" width="18.109375" customWidth="1"/>
    <col min="7" max="7" width="19.109375" customWidth="1"/>
    <col min="8" max="8" width="18.77734375" customWidth="1"/>
    <col min="9" max="9" width="14.44140625" customWidth="1"/>
  </cols>
  <sheetData>
    <row r="1" spans="1:9" ht="20.399999999999999" customHeight="1" x14ac:dyDescent="0.35">
      <c r="A1" s="62" t="s">
        <v>86</v>
      </c>
      <c r="B1" s="63"/>
      <c r="C1" s="63"/>
      <c r="D1" s="63"/>
      <c r="E1" s="63"/>
      <c r="F1" s="63"/>
      <c r="G1" s="63"/>
      <c r="H1" s="63"/>
      <c r="I1" s="64"/>
    </row>
    <row r="2" spans="1:9" x14ac:dyDescent="0.3">
      <c r="A2" s="34"/>
      <c r="B2" s="34"/>
      <c r="C2" s="34"/>
      <c r="D2" s="34"/>
      <c r="E2" s="34"/>
      <c r="F2" s="60" t="s">
        <v>75</v>
      </c>
      <c r="G2" s="60"/>
      <c r="H2" s="60"/>
      <c r="I2" s="61"/>
    </row>
    <row r="3" spans="1:9" ht="17.399999999999999" customHeight="1" x14ac:dyDescent="0.3">
      <c r="A3" s="7" t="s">
        <v>47</v>
      </c>
      <c r="B3" s="8" t="s">
        <v>48</v>
      </c>
      <c r="C3" s="8" t="s">
        <v>49</v>
      </c>
      <c r="D3" s="8" t="s">
        <v>50</v>
      </c>
      <c r="E3" s="34"/>
      <c r="F3" s="22" t="s">
        <v>66</v>
      </c>
      <c r="G3" s="22" t="s">
        <v>67</v>
      </c>
      <c r="H3" s="22" t="s">
        <v>68</v>
      </c>
      <c r="I3" s="22" t="s">
        <v>69</v>
      </c>
    </row>
    <row r="4" spans="1:9" x14ac:dyDescent="0.3">
      <c r="A4" s="36" t="s">
        <v>51</v>
      </c>
      <c r="B4" s="37">
        <v>-0.02</v>
      </c>
      <c r="C4" s="37">
        <v>0.03</v>
      </c>
      <c r="D4" s="37">
        <v>0.06</v>
      </c>
      <c r="E4" s="34"/>
      <c r="F4" s="38" t="s">
        <v>70</v>
      </c>
      <c r="G4" s="39">
        <f>historical_actuals3[[#Totals],[net_sales]]</f>
        <v>474595610</v>
      </c>
      <c r="H4" s="39">
        <f>'2026_COGS_GROSS_PROFIT Plan'!E292</f>
        <v>488833478.30000001</v>
      </c>
      <c r="I4" s="40">
        <f>(H4-G4)/G4</f>
        <v>3.0000000000000027E-2</v>
      </c>
    </row>
    <row r="5" spans="1:9" x14ac:dyDescent="0.3">
      <c r="A5" s="36" t="s">
        <v>52</v>
      </c>
      <c r="B5" s="37">
        <v>0.05</v>
      </c>
      <c r="C5" s="37">
        <v>0.03</v>
      </c>
      <c r="D5" s="37">
        <v>0.01</v>
      </c>
      <c r="E5" s="34"/>
      <c r="F5" s="41" t="s">
        <v>71</v>
      </c>
      <c r="G5" s="39">
        <f>historical_actuals3[[#Totals],[gross_profit]]</f>
        <v>102214615</v>
      </c>
      <c r="H5" s="39">
        <f>'2026_COGS_GROSS_PROFIT Plan'!G292</f>
        <v>93774480.70450002</v>
      </c>
      <c r="I5" s="40">
        <f t="shared" ref="I5" si="0">(H5-G5)/G5</f>
        <v>-8.257267608453038E-2</v>
      </c>
    </row>
    <row r="6" spans="1:9" x14ac:dyDescent="0.3">
      <c r="A6" s="36" t="s">
        <v>53</v>
      </c>
      <c r="B6" s="37">
        <v>0.06</v>
      </c>
      <c r="C6" s="37">
        <v>0.04</v>
      </c>
      <c r="D6" s="37">
        <v>0.03</v>
      </c>
      <c r="E6" s="34"/>
      <c r="F6" s="41" t="s">
        <v>78</v>
      </c>
      <c r="G6" s="42">
        <f>historical_actuals3[[#Totals],[gross_margin_%]]</f>
        <v>0.21537201955997864</v>
      </c>
      <c r="H6" s="42">
        <f>'2026_COGS_GROSS_PROFIT Plan'!H292</f>
        <v>0.19183318014677805</v>
      </c>
      <c r="I6" s="40">
        <f>(H6-G6)</f>
        <v>-2.3538839413200591E-2</v>
      </c>
    </row>
    <row r="7" spans="1:9" x14ac:dyDescent="0.3">
      <c r="A7" s="36" t="s">
        <v>54</v>
      </c>
      <c r="B7" s="37">
        <v>0.05</v>
      </c>
      <c r="C7" s="37">
        <v>0.03</v>
      </c>
      <c r="D7" s="37">
        <v>0.02</v>
      </c>
      <c r="E7" s="34"/>
      <c r="F7" s="41" t="s">
        <v>73</v>
      </c>
      <c r="G7" s="39">
        <f>historical_actuals3[[#Totals],[operating_profit]]</f>
        <v>57311222.159999974</v>
      </c>
      <c r="H7" s="39">
        <f>'2026_COGS_GROSS_PROFIT Plan'!K292</f>
        <v>47364525.357499994</v>
      </c>
      <c r="I7" s="40">
        <f>(H7-G7)/G7</f>
        <v>-0.17355583125990667</v>
      </c>
    </row>
    <row r="8" spans="1:9" ht="21.6" customHeight="1" x14ac:dyDescent="0.3">
      <c r="A8" s="33" t="s">
        <v>66</v>
      </c>
      <c r="B8" s="9" t="s">
        <v>83</v>
      </c>
      <c r="C8" s="9" t="s">
        <v>84</v>
      </c>
      <c r="D8" s="9" t="s">
        <v>85</v>
      </c>
      <c r="E8" s="34"/>
      <c r="F8" s="41" t="s">
        <v>76</v>
      </c>
      <c r="G8" s="42">
        <f>historical_actuals3[[#Totals],[operating_margin_%]]</f>
        <v>0.12075801156272806</v>
      </c>
      <c r="H8" s="42">
        <f>'2026_COGS_GROSS_PROFIT Plan'!L291</f>
        <v>0.18525900475675208</v>
      </c>
      <c r="I8" s="40">
        <f>(H8-G8)</f>
        <v>6.4500993194024026E-2</v>
      </c>
    </row>
    <row r="9" spans="1:9" ht="19.8" customHeight="1" x14ac:dyDescent="0.3">
      <c r="A9" s="43" t="s">
        <v>79</v>
      </c>
      <c r="B9" s="44">
        <f>$G$4*(1+Management_Summary!B4)</f>
        <v>465103697.80000001</v>
      </c>
      <c r="C9" s="44">
        <f>$G$4*(1+Management_Summary!C4)</f>
        <v>488833478.30000001</v>
      </c>
      <c r="D9" s="44">
        <f>$G$4*(1+Management_Summary!D4)</f>
        <v>503071346.60000002</v>
      </c>
      <c r="E9" s="34"/>
      <c r="F9" s="41" t="s">
        <v>76</v>
      </c>
      <c r="G9" s="42">
        <f>historical_actuals3[[#Totals],[operating_margin_%]]</f>
        <v>0.12075801156272806</v>
      </c>
      <c r="H9" s="42">
        <f>'2026_COGS_GROSS_PROFIT Plan'!L292</f>
        <v>9.6892965519092586E-2</v>
      </c>
      <c r="I9" s="40">
        <f>(H9-G9)</f>
        <v>-2.3865046043635471E-2</v>
      </c>
    </row>
    <row r="10" spans="1:9" ht="15" customHeight="1" x14ac:dyDescent="0.3">
      <c r="A10" s="43" t="s">
        <v>80</v>
      </c>
      <c r="B10" s="44">
        <f>'2026_COGS_GROSS_PROFIT Plan'!$D$292*(1+B4)*(1+Management_Summary!B5)</f>
        <v>383180043.85499996</v>
      </c>
      <c r="C10" s="44">
        <f>'2026_COGS_GROSS_PROFIT Plan'!$D$292*(1+C4)*(1+Management_Summary!C5)</f>
        <v>395058997.59550005</v>
      </c>
      <c r="D10" s="44">
        <f>'2026_COGS_GROSS_PROFIT Plan'!$D$292*(1+D4)*(1+Management_Summary!D5)</f>
        <v>398671093.24700004</v>
      </c>
      <c r="E10" s="34"/>
      <c r="F10" s="34"/>
      <c r="G10" s="34"/>
      <c r="H10" s="34"/>
      <c r="I10" s="45"/>
    </row>
    <row r="11" spans="1:9" x14ac:dyDescent="0.3">
      <c r="A11" s="43" t="s">
        <v>71</v>
      </c>
      <c r="B11" s="44">
        <f>B9-B10</f>
        <v>81923653.945000052</v>
      </c>
      <c r="C11" s="44">
        <f t="shared" ref="C11:D11" si="1">C9-C10</f>
        <v>93774480.70449996</v>
      </c>
      <c r="D11" s="44">
        <f t="shared" si="1"/>
        <v>104400253.35299999</v>
      </c>
      <c r="E11" s="34"/>
      <c r="F11" s="34"/>
      <c r="G11" s="34"/>
      <c r="H11" s="34"/>
      <c r="I11" s="45"/>
    </row>
    <row r="12" spans="1:9" x14ac:dyDescent="0.3">
      <c r="A12" s="43" t="s">
        <v>72</v>
      </c>
      <c r="B12" s="40">
        <f>(B11/B9)</f>
        <v>0.17614062053797769</v>
      </c>
      <c r="C12" s="40">
        <f t="shared" ref="C12:D12" si="2">(C11/C9)</f>
        <v>0.19183318014677792</v>
      </c>
      <c r="D12" s="40">
        <f t="shared" si="2"/>
        <v>0.20752573975557839</v>
      </c>
      <c r="E12" s="34"/>
      <c r="F12" s="34"/>
      <c r="G12" s="34"/>
      <c r="H12" s="34"/>
      <c r="I12" s="45"/>
    </row>
    <row r="13" spans="1:9" x14ac:dyDescent="0.3">
      <c r="A13" s="43" t="s">
        <v>82</v>
      </c>
      <c r="B13" s="44">
        <f>historical_actuals!$G$292*(1+Management_Summary!B6)</f>
        <v>16902836.5108</v>
      </c>
      <c r="C13" s="44">
        <f>historical_actuals!$G$292*(1+Management_Summary!C6)</f>
        <v>16583915.067199998</v>
      </c>
      <c r="D13" s="44">
        <f>historical_actuals!$G$292*(1+Management_Summary!D6)</f>
        <v>16424454.345399998</v>
      </c>
      <c r="E13" s="34"/>
      <c r="F13" s="34"/>
      <c r="G13" s="34"/>
      <c r="H13" s="34"/>
      <c r="I13" s="45"/>
    </row>
    <row r="14" spans="1:9" x14ac:dyDescent="0.3">
      <c r="A14" s="43" t="s">
        <v>81</v>
      </c>
      <c r="B14" s="44">
        <f>historical_actuals!$H$292*(1+B7)</f>
        <v>30405186.692999989</v>
      </c>
      <c r="C14" s="44">
        <f>historical_actuals!$H$292*(1+Management_Summary!C7)</f>
        <v>29826040.27979999</v>
      </c>
      <c r="D14" s="44">
        <f>historical_actuals!$H$292*(1+Management_Summary!D7)</f>
        <v>29536467.073199987</v>
      </c>
      <c r="E14" s="34"/>
      <c r="F14" s="34"/>
      <c r="G14" s="34"/>
      <c r="H14" s="34"/>
      <c r="I14" s="45"/>
    </row>
    <row r="15" spans="1:9" x14ac:dyDescent="0.3">
      <c r="A15" s="43" t="s">
        <v>73</v>
      </c>
      <c r="B15" s="44">
        <f>B11-B13-B14</f>
        <v>34615630.74120006</v>
      </c>
      <c r="C15" s="44">
        <f>C11-C13-C14</f>
        <v>47364525.357499965</v>
      </c>
      <c r="D15" s="44">
        <f>D11-D13-D14</f>
        <v>58439331.934399992</v>
      </c>
      <c r="E15" s="34"/>
      <c r="F15" s="34"/>
      <c r="G15" s="34"/>
      <c r="H15" s="34"/>
      <c r="I15" s="45"/>
    </row>
    <row r="16" spans="1:9" x14ac:dyDescent="0.3">
      <c r="A16" s="58" t="s">
        <v>74</v>
      </c>
      <c r="B16" s="59">
        <f>B15/B9</f>
        <v>7.4425619286486902E-2</v>
      </c>
      <c r="C16" s="59">
        <f t="shared" ref="C16:D16" si="3">C15/C9</f>
        <v>9.689296551909253E-2</v>
      </c>
      <c r="D16" s="59">
        <f t="shared" si="3"/>
        <v>0.11616509731544307</v>
      </c>
      <c r="E16" s="34"/>
      <c r="F16" s="34"/>
      <c r="G16" s="34"/>
      <c r="H16" s="34"/>
      <c r="I16" s="45"/>
    </row>
    <row r="17" spans="1:10" x14ac:dyDescent="0.3">
      <c r="A17" s="65"/>
      <c r="B17" s="65"/>
      <c r="C17" s="65"/>
      <c r="D17" s="65"/>
      <c r="E17" s="34"/>
      <c r="F17" s="34"/>
      <c r="G17" s="46"/>
      <c r="H17" s="47"/>
      <c r="I17" s="48"/>
      <c r="J17" s="1"/>
    </row>
    <row r="18" spans="1:10" x14ac:dyDescent="0.3">
      <c r="A18" s="66" t="s">
        <v>87</v>
      </c>
      <c r="B18" s="65"/>
      <c r="C18" s="65"/>
      <c r="D18" s="67"/>
      <c r="E18" s="34"/>
      <c r="F18" s="34"/>
      <c r="G18" s="49"/>
      <c r="H18" s="50"/>
      <c r="I18" s="51"/>
      <c r="J18" s="5"/>
    </row>
    <row r="19" spans="1:10" x14ac:dyDescent="0.3">
      <c r="A19" s="55"/>
      <c r="B19" s="34"/>
      <c r="C19" s="34"/>
      <c r="D19" s="45"/>
      <c r="E19" s="34"/>
      <c r="F19" s="34"/>
      <c r="G19" s="49"/>
      <c r="H19" s="50"/>
      <c r="I19" s="51"/>
      <c r="J19" s="5"/>
    </row>
    <row r="20" spans="1:10" x14ac:dyDescent="0.3">
      <c r="A20" s="55"/>
      <c r="B20" s="34"/>
      <c r="C20" s="34"/>
      <c r="D20" s="45"/>
      <c r="E20" s="34"/>
      <c r="F20" s="34"/>
      <c r="G20" s="49"/>
      <c r="H20" s="50"/>
      <c r="I20" s="51"/>
      <c r="J20" s="5"/>
    </row>
    <row r="21" spans="1:10" x14ac:dyDescent="0.3">
      <c r="A21" s="56"/>
      <c r="B21" s="35"/>
      <c r="C21" s="35"/>
      <c r="D21" s="57"/>
      <c r="E21" s="35"/>
      <c r="F21" s="35"/>
      <c r="G21" s="52"/>
      <c r="H21" s="53"/>
      <c r="I21" s="54"/>
      <c r="J21" s="20"/>
    </row>
    <row r="22" spans="1:10" x14ac:dyDescent="0.3">
      <c r="G22" s="4"/>
      <c r="H22" s="5"/>
      <c r="I22" s="5"/>
      <c r="J22" s="5"/>
    </row>
    <row r="23" spans="1:10" x14ac:dyDescent="0.3">
      <c r="H23" s="4"/>
    </row>
    <row r="24" spans="1:10" x14ac:dyDescent="0.3">
      <c r="H24" s="4"/>
    </row>
    <row r="25" spans="1:10" x14ac:dyDescent="0.3">
      <c r="G25" s="4"/>
    </row>
  </sheetData>
  <mergeCells count="4">
    <mergeCell ref="F2:I2"/>
    <mergeCell ref="A1:I1"/>
    <mergeCell ref="A17:D17"/>
    <mergeCell ref="A18:D1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7658-AF5F-4569-AE88-A1E1879BDE06}">
  <dimension ref="A1:L292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K3" sqref="K3"/>
    </sheetView>
  </sheetViews>
  <sheetFormatPr defaultRowHeight="14.4" x14ac:dyDescent="0.3"/>
  <cols>
    <col min="1" max="1" width="13.21875" customWidth="1"/>
    <col min="2" max="2" width="9.6640625" customWidth="1"/>
    <col min="3" max="3" width="16.77734375" customWidth="1"/>
    <col min="4" max="4" width="16.5546875" customWidth="1"/>
    <col min="5" max="5" width="17.44140625" customWidth="1"/>
    <col min="6" max="6" width="17.21875" customWidth="1"/>
    <col min="7" max="7" width="21.6640625" customWidth="1"/>
    <col min="8" max="8" width="14.77734375" customWidth="1"/>
    <col min="9" max="9" width="21.88671875" customWidth="1"/>
    <col min="10" max="10" width="29.21875" customWidth="1"/>
    <col min="11" max="11" width="16.33203125" customWidth="1"/>
    <col min="12" max="12" width="21" customWidth="1"/>
  </cols>
  <sheetData>
    <row r="1" spans="1:12" s="30" customFormat="1" ht="31.2" x14ac:dyDescent="0.3">
      <c r="A1" s="27" t="s">
        <v>0</v>
      </c>
      <c r="B1" s="27" t="s">
        <v>1</v>
      </c>
      <c r="C1" s="28" t="s">
        <v>57</v>
      </c>
      <c r="D1" s="28" t="s">
        <v>59</v>
      </c>
      <c r="E1" s="28" t="s">
        <v>60</v>
      </c>
      <c r="F1" s="28" t="s">
        <v>61</v>
      </c>
      <c r="G1" s="28" t="s">
        <v>62</v>
      </c>
      <c r="H1" s="28" t="s">
        <v>63</v>
      </c>
      <c r="I1" s="28" t="s">
        <v>64</v>
      </c>
      <c r="J1" s="28" t="s">
        <v>65</v>
      </c>
      <c r="K1" s="29" t="s">
        <v>45</v>
      </c>
      <c r="L1" s="29" t="s">
        <v>46</v>
      </c>
    </row>
    <row r="2" spans="1:12" x14ac:dyDescent="0.3">
      <c r="A2" s="10" t="str" cm="1">
        <f t="array" ref="A2:D291">_xlfn.HSTACK(SUBSTITUTE(historical_actuals[month_year],"-25","-26"),historical_actuals[store_id],historical_actuals[net_sales],historical_actuals[cogs])</f>
        <v>Jan-26</v>
      </c>
      <c r="B2" s="11" t="str">
        <v>ST001</v>
      </c>
      <c r="C2" s="12">
        <v>1629783</v>
      </c>
      <c r="D2" s="12">
        <v>1296230</v>
      </c>
      <c r="E2" s="13">
        <f>C2*(1+Assumptions!$B$12)</f>
        <v>1678676.49</v>
      </c>
      <c r="F2" s="13">
        <f>D2*(1+Assumptions!$B$12)*(1+Assumptions!$B$13)</f>
        <v>1375170.4070000001</v>
      </c>
      <c r="G2" s="14">
        <f>E2-F2</f>
        <v>303506.08299999987</v>
      </c>
      <c r="H2" s="15">
        <f>IFERROR(G2/E2,0)</f>
        <v>0.18080081826844424</v>
      </c>
      <c r="I2" s="16" cm="1">
        <f t="array" ref="I2:I291">historical_actuals[labour_cost]*(1+Assumptions!B14)</f>
        <v>71263.472800000003</v>
      </c>
      <c r="J2" s="16" cm="1">
        <f t="array" ref="J2:J291">historical_actuals3[operating_expenses]*(1+Assumptions!B15)</f>
        <v>138112.16440000001</v>
      </c>
      <c r="K2" s="17">
        <f>E2-F2-I2-J2</f>
        <v>94130.44579999987</v>
      </c>
      <c r="L2" s="15">
        <f>IFERROR(K2/E2,0)</f>
        <v>5.6074202719071778E-2</v>
      </c>
    </row>
    <row r="3" spans="1:12" x14ac:dyDescent="0.3">
      <c r="A3" s="18" t="str">
        <v>Jan-26</v>
      </c>
      <c r="B3" s="18" t="str">
        <v>ST002</v>
      </c>
      <c r="C3" s="19">
        <v>1617193</v>
      </c>
      <c r="D3" s="19">
        <v>1283300</v>
      </c>
      <c r="E3" s="13">
        <f>C3*(1+Assumptions!$B$12)</f>
        <v>1665708.79</v>
      </c>
      <c r="F3" s="13">
        <f>D3*(1+Assumptions!$B$12)*(1+Assumptions!$B$13)</f>
        <v>1361452.97</v>
      </c>
      <c r="G3" s="14">
        <f t="shared" ref="G3:G66" si="0">E3-F3</f>
        <v>304255.82000000007</v>
      </c>
      <c r="H3" s="15">
        <f t="shared" ref="H3:H66" si="1">IFERROR(G3/E3,0)</f>
        <v>0.18265847057215809</v>
      </c>
      <c r="I3" s="16">
        <v>70718.325599999996</v>
      </c>
      <c r="J3" s="16">
        <v>131024.2503</v>
      </c>
      <c r="K3" s="17">
        <f t="shared" ref="K3:K66" si="2">E3-F3-I3-J3</f>
        <v>102513.24410000008</v>
      </c>
      <c r="L3" s="15">
        <f t="shared" ref="L3:L66" si="3">IFERROR(K3/E3,0)</f>
        <v>6.1543317004408724E-2</v>
      </c>
    </row>
    <row r="4" spans="1:12" x14ac:dyDescent="0.3">
      <c r="A4" s="18" t="str">
        <v>Jan-26</v>
      </c>
      <c r="B4" s="18" t="str">
        <v>ST003</v>
      </c>
      <c r="C4" s="19">
        <v>1633880</v>
      </c>
      <c r="D4" s="19">
        <v>1303972</v>
      </c>
      <c r="E4" s="13">
        <f>C4*(1+Assumptions!$B$12)</f>
        <v>1682896.4000000001</v>
      </c>
      <c r="F4" s="13">
        <f>D4*(1+Assumptions!$B$12)*(1+Assumptions!$B$13)</f>
        <v>1383383.8948000001</v>
      </c>
      <c r="G4" s="14">
        <f t="shared" si="0"/>
        <v>299512.50520000001</v>
      </c>
      <c r="H4" s="15">
        <f t="shared" si="1"/>
        <v>0.17797441672583053</v>
      </c>
      <c r="I4" s="16">
        <v>72203.5288</v>
      </c>
      <c r="J4" s="16">
        <v>128848.35470000001</v>
      </c>
      <c r="K4" s="17">
        <f t="shared" si="2"/>
        <v>98460.621700000003</v>
      </c>
      <c r="L4" s="15">
        <f t="shared" si="3"/>
        <v>5.8506644675215894E-2</v>
      </c>
    </row>
    <row r="5" spans="1:12" x14ac:dyDescent="0.3">
      <c r="A5" s="18" t="str">
        <v>Jan-26</v>
      </c>
      <c r="B5" s="18" t="str">
        <v>ST004</v>
      </c>
      <c r="C5" s="19">
        <v>1620996</v>
      </c>
      <c r="D5" s="19">
        <v>1311164</v>
      </c>
      <c r="E5" s="13">
        <f>C5*(1+Assumptions!$B$12)</f>
        <v>1669625.8800000001</v>
      </c>
      <c r="F5" s="13">
        <f>D5*(1+Assumptions!$B$12)*(1+Assumptions!$B$13)</f>
        <v>1391013.8876</v>
      </c>
      <c r="G5" s="14">
        <f t="shared" si="0"/>
        <v>278611.9924000001</v>
      </c>
      <c r="H5" s="15">
        <f t="shared" si="1"/>
        <v>0.16687091146430966</v>
      </c>
      <c r="I5" s="16">
        <v>69415.694400000008</v>
      </c>
      <c r="J5" s="16">
        <v>141388.4399</v>
      </c>
      <c r="K5" s="17">
        <f t="shared" si="2"/>
        <v>67807.8581000001</v>
      </c>
      <c r="L5" s="15">
        <f t="shared" si="3"/>
        <v>4.0612606040821606E-2</v>
      </c>
    </row>
    <row r="6" spans="1:12" x14ac:dyDescent="0.3">
      <c r="A6" s="18" t="str">
        <v>Jan-26</v>
      </c>
      <c r="B6" s="18" t="str">
        <v>ST005</v>
      </c>
      <c r="C6" s="19">
        <v>1540837</v>
      </c>
      <c r="D6" s="19">
        <v>1232753</v>
      </c>
      <c r="E6" s="13">
        <f>C6*(1+Assumptions!$B$12)</f>
        <v>1587062.11</v>
      </c>
      <c r="F6" s="13">
        <f>D6*(1+Assumptions!$B$12)*(1+Assumptions!$B$13)</f>
        <v>1307827.6577000001</v>
      </c>
      <c r="G6" s="14">
        <f t="shared" si="0"/>
        <v>279234.4523</v>
      </c>
      <c r="H6" s="15">
        <f t="shared" si="1"/>
        <v>0.17594424978112544</v>
      </c>
      <c r="I6" s="16">
        <v>74002.967999999993</v>
      </c>
      <c r="J6" s="16">
        <v>123111.7697</v>
      </c>
      <c r="K6" s="17">
        <f t="shared" si="2"/>
        <v>82119.714600000007</v>
      </c>
      <c r="L6" s="15">
        <f t="shared" si="3"/>
        <v>5.1743226734837743E-2</v>
      </c>
    </row>
    <row r="7" spans="1:12" x14ac:dyDescent="0.3">
      <c r="A7" s="18" t="str">
        <v>Jan-26</v>
      </c>
      <c r="B7" s="18" t="str">
        <v>ST006</v>
      </c>
      <c r="C7" s="19">
        <v>1490262</v>
      </c>
      <c r="D7" s="19">
        <v>1174186</v>
      </c>
      <c r="E7" s="13">
        <f>C7*(1+Assumptions!$B$12)</f>
        <v>1534969.86</v>
      </c>
      <c r="F7" s="13">
        <f>D7*(1+Assumptions!$B$12)*(1+Assumptions!$B$13)</f>
        <v>1245693.9274000002</v>
      </c>
      <c r="G7" s="14">
        <f t="shared" si="0"/>
        <v>289275.93259999994</v>
      </c>
      <c r="H7" s="15">
        <f t="shared" si="1"/>
        <v>0.18845707667510808</v>
      </c>
      <c r="I7" s="16">
        <v>73544.858400000012</v>
      </c>
      <c r="J7" s="16">
        <v>118570.48940000001</v>
      </c>
      <c r="K7" s="17">
        <f t="shared" si="2"/>
        <v>97160.58479999991</v>
      </c>
      <c r="L7" s="15">
        <f t="shared" si="3"/>
        <v>6.3298040783680204E-2</v>
      </c>
    </row>
    <row r="8" spans="1:12" x14ac:dyDescent="0.3">
      <c r="A8" s="18" t="str">
        <v>Jan-26</v>
      </c>
      <c r="B8" s="18" t="str">
        <v>ST007</v>
      </c>
      <c r="C8" s="19">
        <v>1722278</v>
      </c>
      <c r="D8" s="19">
        <v>1362688</v>
      </c>
      <c r="E8" s="13">
        <f>C8*(1+Assumptions!$B$12)</f>
        <v>1773946.34</v>
      </c>
      <c r="F8" s="13">
        <f>D8*(1+Assumptions!$B$12)*(1+Assumptions!$B$13)</f>
        <v>1445675.6992000001</v>
      </c>
      <c r="G8" s="14">
        <f t="shared" si="0"/>
        <v>328270.64079999994</v>
      </c>
      <c r="H8" s="15">
        <f t="shared" si="1"/>
        <v>0.18505105447552597</v>
      </c>
      <c r="I8" s="16">
        <v>72711.86</v>
      </c>
      <c r="J8" s="16">
        <v>116360.88189999999</v>
      </c>
      <c r="K8" s="17">
        <f t="shared" si="2"/>
        <v>139197.89889999997</v>
      </c>
      <c r="L8" s="15">
        <f t="shared" si="3"/>
        <v>7.8467930940909952E-2</v>
      </c>
    </row>
    <row r="9" spans="1:12" x14ac:dyDescent="0.3">
      <c r="A9" s="18" t="str">
        <v>Jan-26</v>
      </c>
      <c r="B9" s="18" t="str">
        <v>ST008</v>
      </c>
      <c r="C9" s="19">
        <v>1766395</v>
      </c>
      <c r="D9" s="19">
        <v>1385977</v>
      </c>
      <c r="E9" s="13">
        <f>C9*(1+Assumptions!$B$12)</f>
        <v>1819386.85</v>
      </c>
      <c r="F9" s="13">
        <f>D9*(1+Assumptions!$B$12)*(1+Assumptions!$B$13)</f>
        <v>1470382.9993</v>
      </c>
      <c r="G9" s="14">
        <f t="shared" si="0"/>
        <v>349003.85070000007</v>
      </c>
      <c r="H9" s="15">
        <f t="shared" si="1"/>
        <v>0.19182498252089711</v>
      </c>
      <c r="I9" s="16">
        <v>72633.319199999998</v>
      </c>
      <c r="J9" s="16">
        <v>124973.7625</v>
      </c>
      <c r="K9" s="17">
        <f t="shared" si="2"/>
        <v>151396.76900000003</v>
      </c>
      <c r="L9" s="15">
        <f t="shared" si="3"/>
        <v>8.3213072030283178E-2</v>
      </c>
    </row>
    <row r="10" spans="1:12" x14ac:dyDescent="0.3">
      <c r="A10" s="18" t="str">
        <v>Jan-26</v>
      </c>
      <c r="B10" s="18" t="str">
        <v>ST009</v>
      </c>
      <c r="C10" s="19">
        <v>1664236</v>
      </c>
      <c r="D10" s="19">
        <v>1302026</v>
      </c>
      <c r="E10" s="13">
        <f>C10*(1+Assumptions!$B$12)</f>
        <v>1714163.08</v>
      </c>
      <c r="F10" s="13">
        <f>D10*(1+Assumptions!$B$12)*(1+Assumptions!$B$13)</f>
        <v>1381319.3834000002</v>
      </c>
      <c r="G10" s="14">
        <f t="shared" si="0"/>
        <v>332843.69659999991</v>
      </c>
      <c r="H10" s="15">
        <f t="shared" si="1"/>
        <v>0.19417271348534698</v>
      </c>
      <c r="I10" s="16">
        <v>72285.324800000002</v>
      </c>
      <c r="J10" s="16">
        <v>117887.16680000001</v>
      </c>
      <c r="K10" s="17">
        <f t="shared" si="2"/>
        <v>142671.2049999999</v>
      </c>
      <c r="L10" s="15">
        <f t="shared" si="3"/>
        <v>8.3230823639020332E-2</v>
      </c>
    </row>
    <row r="11" spans="1:12" x14ac:dyDescent="0.3">
      <c r="A11" s="18" t="str">
        <v>Jan-26</v>
      </c>
      <c r="B11" s="18" t="str">
        <v>ST010</v>
      </c>
      <c r="C11" s="19">
        <v>1544021</v>
      </c>
      <c r="D11" s="19">
        <v>1204744</v>
      </c>
      <c r="E11" s="13">
        <f>C11*(1+Assumptions!$B$12)</f>
        <v>1590341.6300000001</v>
      </c>
      <c r="F11" s="13">
        <f>D11*(1+Assumptions!$B$12)*(1+Assumptions!$B$13)</f>
        <v>1278112.9096000001</v>
      </c>
      <c r="G11" s="14">
        <f t="shared" si="0"/>
        <v>312228.72039999999</v>
      </c>
      <c r="H11" s="15">
        <f t="shared" si="1"/>
        <v>0.19632808102998597</v>
      </c>
      <c r="I11" s="16">
        <v>75921.580800000011</v>
      </c>
      <c r="J11" s="16">
        <v>117658.1051</v>
      </c>
      <c r="K11" s="17">
        <f t="shared" si="2"/>
        <v>118649.03449999999</v>
      </c>
      <c r="L11" s="15">
        <f t="shared" si="3"/>
        <v>7.4606004308646556E-2</v>
      </c>
    </row>
    <row r="12" spans="1:12" x14ac:dyDescent="0.3">
      <c r="A12" s="18" t="str">
        <v>Jan-26</v>
      </c>
      <c r="B12" s="18" t="str">
        <v>ST011</v>
      </c>
      <c r="C12" s="19">
        <v>1408002</v>
      </c>
      <c r="D12" s="19">
        <v>1111514</v>
      </c>
      <c r="E12" s="13">
        <f>C12*(1+Assumptions!$B$12)</f>
        <v>1450242.06</v>
      </c>
      <c r="F12" s="13">
        <f>D12*(1+Assumptions!$B$12)*(1+Assumptions!$B$13)</f>
        <v>1179205.2026</v>
      </c>
      <c r="G12" s="14">
        <f t="shared" si="0"/>
        <v>271036.8574000001</v>
      </c>
      <c r="H12" s="15">
        <f t="shared" si="1"/>
        <v>0.18689077146197242</v>
      </c>
      <c r="I12" s="16">
        <v>72170.727199999994</v>
      </c>
      <c r="J12" s="16">
        <v>133089.4621</v>
      </c>
      <c r="K12" s="17">
        <f t="shared" si="2"/>
        <v>65776.668100000097</v>
      </c>
      <c r="L12" s="15">
        <f t="shared" si="3"/>
        <v>4.5355647801305729E-2</v>
      </c>
    </row>
    <row r="13" spans="1:12" x14ac:dyDescent="0.3">
      <c r="A13" s="18" t="str">
        <v>Jan-26</v>
      </c>
      <c r="B13" s="18" t="str">
        <v>ST012</v>
      </c>
      <c r="C13" s="19">
        <v>1372555</v>
      </c>
      <c r="D13" s="19">
        <v>1105465</v>
      </c>
      <c r="E13" s="13">
        <f>C13*(1+Assumptions!$B$12)</f>
        <v>1413731.6500000001</v>
      </c>
      <c r="F13" s="13">
        <f>D13*(1+Assumptions!$B$12)*(1+Assumptions!$B$13)</f>
        <v>1172787.8185000001</v>
      </c>
      <c r="G13" s="14">
        <f t="shared" si="0"/>
        <v>240943.83150000009</v>
      </c>
      <c r="H13" s="15">
        <f t="shared" si="1"/>
        <v>0.17043109383594834</v>
      </c>
      <c r="I13" s="16">
        <v>71061.920800000007</v>
      </c>
      <c r="J13" s="16">
        <v>131897.36070000002</v>
      </c>
      <c r="K13" s="17">
        <f t="shared" si="2"/>
        <v>37984.550000000047</v>
      </c>
      <c r="L13" s="15">
        <f t="shared" si="3"/>
        <v>2.6868288617574659E-2</v>
      </c>
    </row>
    <row r="14" spans="1:12" x14ac:dyDescent="0.3">
      <c r="A14" s="18" t="str">
        <v>Jan-26</v>
      </c>
      <c r="B14" s="18" t="str">
        <v>ST013</v>
      </c>
      <c r="C14" s="19">
        <v>1469056</v>
      </c>
      <c r="D14" s="19">
        <v>1167472</v>
      </c>
      <c r="E14" s="13">
        <f>C14*(1+Assumptions!$B$12)</f>
        <v>1513127.68</v>
      </c>
      <c r="F14" s="13">
        <f>D14*(1+Assumptions!$B$12)*(1+Assumptions!$B$13)</f>
        <v>1238571.0448</v>
      </c>
      <c r="G14" s="14">
        <f t="shared" si="0"/>
        <v>274556.6351999999</v>
      </c>
      <c r="H14" s="15">
        <f t="shared" si="1"/>
        <v>0.18144974732072836</v>
      </c>
      <c r="I14" s="16">
        <v>71903.894400000005</v>
      </c>
      <c r="J14" s="16">
        <v>120095.21900000001</v>
      </c>
      <c r="K14" s="17">
        <f t="shared" si="2"/>
        <v>82557.5217999999</v>
      </c>
      <c r="L14" s="15">
        <f t="shared" si="3"/>
        <v>5.4560843008304431E-2</v>
      </c>
    </row>
    <row r="15" spans="1:12" x14ac:dyDescent="0.3">
      <c r="A15" s="18" t="str">
        <v>Jan-26</v>
      </c>
      <c r="B15" s="18" t="str">
        <v>ST014</v>
      </c>
      <c r="C15" s="19">
        <v>1618208</v>
      </c>
      <c r="D15" s="19">
        <v>1309506</v>
      </c>
      <c r="E15" s="13">
        <f>C15*(1+Assumptions!$B$12)</f>
        <v>1666754.24</v>
      </c>
      <c r="F15" s="13">
        <f>D15*(1+Assumptions!$B$12)*(1+Assumptions!$B$13)</f>
        <v>1389254.9154000001</v>
      </c>
      <c r="G15" s="14">
        <f t="shared" si="0"/>
        <v>277499.32459999993</v>
      </c>
      <c r="H15" s="15">
        <f t="shared" si="1"/>
        <v>0.16649084666495279</v>
      </c>
      <c r="I15" s="16">
        <v>73814.9568</v>
      </c>
      <c r="J15" s="16">
        <v>121342.99189999999</v>
      </c>
      <c r="K15" s="17">
        <f t="shared" si="2"/>
        <v>82341.375899999955</v>
      </c>
      <c r="L15" s="15">
        <f t="shared" si="3"/>
        <v>4.940222974924003E-2</v>
      </c>
    </row>
    <row r="16" spans="1:12" x14ac:dyDescent="0.3">
      <c r="A16" s="18" t="str">
        <v>Jan-26</v>
      </c>
      <c r="B16" s="18" t="str">
        <v>ST015</v>
      </c>
      <c r="C16" s="19">
        <v>1610677</v>
      </c>
      <c r="D16" s="19">
        <v>1281206</v>
      </c>
      <c r="E16" s="13">
        <f>C16*(1+Assumptions!$B$12)</f>
        <v>1658997.31</v>
      </c>
      <c r="F16" s="13">
        <f>D16*(1+Assumptions!$B$12)*(1+Assumptions!$B$13)</f>
        <v>1359231.4454000001</v>
      </c>
      <c r="G16" s="14">
        <f t="shared" si="0"/>
        <v>299765.86459999997</v>
      </c>
      <c r="H16" s="15">
        <f t="shared" si="1"/>
        <v>0.18069098894440039</v>
      </c>
      <c r="I16" s="16">
        <v>71371.591199999995</v>
      </c>
      <c r="J16" s="16">
        <v>125809.4633</v>
      </c>
      <c r="K16" s="17">
        <f t="shared" si="2"/>
        <v>102584.81009999997</v>
      </c>
      <c r="L16" s="15">
        <f t="shared" si="3"/>
        <v>6.1835428835023229E-2</v>
      </c>
    </row>
    <row r="17" spans="1:12" x14ac:dyDescent="0.3">
      <c r="A17" s="18" t="str">
        <v>Jan-26</v>
      </c>
      <c r="B17" s="18" t="str">
        <v>ST016</v>
      </c>
      <c r="C17" s="19">
        <v>1553143</v>
      </c>
      <c r="D17" s="19">
        <v>1256411</v>
      </c>
      <c r="E17" s="13">
        <f>C17*(1+Assumptions!$B$12)</f>
        <v>1599737.29</v>
      </c>
      <c r="F17" s="13">
        <f>D17*(1+Assumptions!$B$12)*(1+Assumptions!$B$13)</f>
        <v>1332926.4299000001</v>
      </c>
      <c r="G17" s="14">
        <f t="shared" si="0"/>
        <v>266810.86009999993</v>
      </c>
      <c r="H17" s="15">
        <f t="shared" si="1"/>
        <v>0.16678417248122029</v>
      </c>
      <c r="I17" s="16">
        <v>72902.398400000005</v>
      </c>
      <c r="J17" s="16">
        <v>141093.6024</v>
      </c>
      <c r="K17" s="17">
        <f t="shared" si="2"/>
        <v>52814.859299999924</v>
      </c>
      <c r="L17" s="15">
        <f t="shared" si="3"/>
        <v>3.3014707871190478E-2</v>
      </c>
    </row>
    <row r="18" spans="1:12" x14ac:dyDescent="0.3">
      <c r="A18" s="18" t="str">
        <v>Jan-26</v>
      </c>
      <c r="B18" s="18" t="str">
        <v>ST017</v>
      </c>
      <c r="C18" s="19">
        <v>1682029</v>
      </c>
      <c r="D18" s="19">
        <v>1321652</v>
      </c>
      <c r="E18" s="13">
        <f>C18*(1+Assumptions!$B$12)</f>
        <v>1732489.87</v>
      </c>
      <c r="F18" s="13">
        <f>D18*(1+Assumptions!$B$12)*(1+Assumptions!$B$13)</f>
        <v>1402140.6068000002</v>
      </c>
      <c r="G18" s="14">
        <f t="shared" si="0"/>
        <v>330349.26319999993</v>
      </c>
      <c r="H18" s="15">
        <f t="shared" si="1"/>
        <v>0.19067890030433476</v>
      </c>
      <c r="I18" s="16">
        <v>74802.3848</v>
      </c>
      <c r="J18" s="16">
        <v>131126.80740000002</v>
      </c>
      <c r="K18" s="17">
        <f t="shared" si="2"/>
        <v>124420.07099999991</v>
      </c>
      <c r="L18" s="15">
        <f t="shared" si="3"/>
        <v>7.181575670627148E-2</v>
      </c>
    </row>
    <row r="19" spans="1:12" x14ac:dyDescent="0.3">
      <c r="A19" s="18" t="str">
        <v>Jan-26</v>
      </c>
      <c r="B19" s="18" t="str">
        <v>ST018</v>
      </c>
      <c r="C19" s="19">
        <v>1593168</v>
      </c>
      <c r="D19" s="19">
        <v>1270448</v>
      </c>
      <c r="E19" s="13">
        <f>C19*(1+Assumptions!$B$12)</f>
        <v>1640963.04</v>
      </c>
      <c r="F19" s="13">
        <f>D19*(1+Assumptions!$B$12)*(1+Assumptions!$B$13)</f>
        <v>1347818.2831999999</v>
      </c>
      <c r="G19" s="14">
        <f t="shared" si="0"/>
        <v>293144.75680000009</v>
      </c>
      <c r="H19" s="15">
        <f t="shared" si="1"/>
        <v>0.17864190091691529</v>
      </c>
      <c r="I19" s="16">
        <v>73697.675999999992</v>
      </c>
      <c r="J19" s="16">
        <v>122340.44390000001</v>
      </c>
      <c r="K19" s="17">
        <f t="shared" si="2"/>
        <v>97106.6369000001</v>
      </c>
      <c r="L19" s="15">
        <f t="shared" si="3"/>
        <v>5.9176614300831598E-2</v>
      </c>
    </row>
    <row r="20" spans="1:12" x14ac:dyDescent="0.3">
      <c r="A20" s="18" t="str">
        <v>Jan-26</v>
      </c>
      <c r="B20" s="18" t="str">
        <v>ST019</v>
      </c>
      <c r="C20" s="19">
        <v>1560284</v>
      </c>
      <c r="D20" s="19">
        <v>1220282</v>
      </c>
      <c r="E20" s="13">
        <f>C20*(1+Assumptions!$B$12)</f>
        <v>1607092.52</v>
      </c>
      <c r="F20" s="13">
        <f>D20*(1+Assumptions!$B$12)*(1+Assumptions!$B$13)</f>
        <v>1294597.1738</v>
      </c>
      <c r="G20" s="14">
        <f t="shared" si="0"/>
        <v>312495.34620000003</v>
      </c>
      <c r="H20" s="15">
        <f t="shared" si="1"/>
        <v>0.19444763901956313</v>
      </c>
      <c r="I20" s="16">
        <v>17409.8704</v>
      </c>
      <c r="J20" s="16">
        <v>29977.109700000001</v>
      </c>
      <c r="K20" s="17">
        <f t="shared" si="2"/>
        <v>265108.36609999998</v>
      </c>
      <c r="L20" s="15">
        <f t="shared" si="3"/>
        <v>0.16496148342473774</v>
      </c>
    </row>
    <row r="21" spans="1:12" x14ac:dyDescent="0.3">
      <c r="A21" s="18" t="str">
        <v>Jan-26</v>
      </c>
      <c r="B21" s="18" t="str">
        <v>ST020</v>
      </c>
      <c r="C21" s="19">
        <v>1407687</v>
      </c>
      <c r="D21" s="19">
        <v>1105583</v>
      </c>
      <c r="E21" s="13">
        <f>C21*(1+Assumptions!$B$12)</f>
        <v>1449917.61</v>
      </c>
      <c r="F21" s="13">
        <f>D21*(1+Assumptions!$B$12)*(1+Assumptions!$B$13)</f>
        <v>1172913.0046999999</v>
      </c>
      <c r="G21" s="14">
        <f t="shared" si="0"/>
        <v>277004.60530000017</v>
      </c>
      <c r="H21" s="15">
        <f t="shared" si="1"/>
        <v>0.19104851433592848</v>
      </c>
      <c r="I21" s="16">
        <v>16923.576799999999</v>
      </c>
      <c r="J21" s="16">
        <v>25610.115699999998</v>
      </c>
      <c r="K21" s="17">
        <f t="shared" si="2"/>
        <v>234470.91280000017</v>
      </c>
      <c r="L21" s="15">
        <f t="shared" si="3"/>
        <v>0.16171326645242978</v>
      </c>
    </row>
    <row r="22" spans="1:12" x14ac:dyDescent="0.3">
      <c r="A22" s="18" t="str">
        <v>Jan-26</v>
      </c>
      <c r="B22" s="18" t="str">
        <v>ST021</v>
      </c>
      <c r="C22" s="19">
        <v>1563663</v>
      </c>
      <c r="D22" s="19">
        <v>1242107</v>
      </c>
      <c r="E22" s="13">
        <f>C22*(1+Assumptions!$B$12)</f>
        <v>1610572.8900000001</v>
      </c>
      <c r="F22" s="13">
        <f>D22*(1+Assumptions!$B$12)*(1+Assumptions!$B$13)</f>
        <v>1317751.3163000001</v>
      </c>
      <c r="G22" s="14">
        <f t="shared" si="0"/>
        <v>292821.57370000007</v>
      </c>
      <c r="H22" s="15">
        <f t="shared" si="1"/>
        <v>0.18181205924806051</v>
      </c>
      <c r="I22" s="16">
        <v>17254.64</v>
      </c>
      <c r="J22" s="16">
        <v>28808.976400000003</v>
      </c>
      <c r="K22" s="17">
        <f t="shared" si="2"/>
        <v>246757.95730000004</v>
      </c>
      <c r="L22" s="15">
        <f t="shared" si="3"/>
        <v>0.15321129446056925</v>
      </c>
    </row>
    <row r="23" spans="1:12" x14ac:dyDescent="0.3">
      <c r="A23" s="18" t="str">
        <v>Jan-26</v>
      </c>
      <c r="B23" s="18" t="str">
        <v>ST022</v>
      </c>
      <c r="C23" s="19">
        <v>1651565</v>
      </c>
      <c r="D23" s="19">
        <v>1311931</v>
      </c>
      <c r="E23" s="13">
        <f>C23*(1+Assumptions!$B$12)</f>
        <v>1701111.95</v>
      </c>
      <c r="F23" s="13">
        <f>D23*(1+Assumptions!$B$12)*(1+Assumptions!$B$13)</f>
        <v>1391827.5978999999</v>
      </c>
      <c r="G23" s="14">
        <f t="shared" si="0"/>
        <v>309284.35210000002</v>
      </c>
      <c r="H23" s="15">
        <f t="shared" si="1"/>
        <v>0.18181305004647108</v>
      </c>
      <c r="I23" s="16">
        <v>17173.1976</v>
      </c>
      <c r="J23" s="16">
        <v>26249.7251</v>
      </c>
      <c r="K23" s="17">
        <f t="shared" si="2"/>
        <v>265861.42940000002</v>
      </c>
      <c r="L23" s="15">
        <f t="shared" si="3"/>
        <v>0.15628685072725521</v>
      </c>
    </row>
    <row r="24" spans="1:12" x14ac:dyDescent="0.3">
      <c r="A24" s="18" t="str">
        <v>Feb-26</v>
      </c>
      <c r="B24" s="18" t="str">
        <v>ST001</v>
      </c>
      <c r="C24" s="19">
        <v>1453835</v>
      </c>
      <c r="D24" s="19">
        <v>1157438</v>
      </c>
      <c r="E24" s="13">
        <f>C24*(1+Assumptions!$B$12)</f>
        <v>1497450.05</v>
      </c>
      <c r="F24" s="13">
        <f>D24*(1+Assumptions!$B$12)*(1+Assumptions!$B$13)</f>
        <v>1227925.9742000001</v>
      </c>
      <c r="G24" s="14">
        <f t="shared" si="0"/>
        <v>269524.07579999999</v>
      </c>
      <c r="H24" s="15">
        <f t="shared" si="1"/>
        <v>0.17998869197673736</v>
      </c>
      <c r="I24" s="16">
        <v>65463.143200000006</v>
      </c>
      <c r="J24" s="16">
        <v>129500.6228</v>
      </c>
      <c r="K24" s="17">
        <f t="shared" si="2"/>
        <v>74560.309800000003</v>
      </c>
      <c r="L24" s="15">
        <f t="shared" si="3"/>
        <v>4.9791517119385717E-2</v>
      </c>
    </row>
    <row r="25" spans="1:12" x14ac:dyDescent="0.3">
      <c r="A25" s="18" t="str">
        <v>Feb-26</v>
      </c>
      <c r="B25" s="18" t="str">
        <v>ST002</v>
      </c>
      <c r="C25" s="19">
        <v>1544334</v>
      </c>
      <c r="D25" s="19">
        <v>1234715</v>
      </c>
      <c r="E25" s="13">
        <f>C25*(1+Assumptions!$B$12)</f>
        <v>1590664.02</v>
      </c>
      <c r="F25" s="13">
        <f>D25*(1+Assumptions!$B$12)*(1+Assumptions!$B$13)</f>
        <v>1309909.1435</v>
      </c>
      <c r="G25" s="14">
        <f t="shared" si="0"/>
        <v>280754.87650000001</v>
      </c>
      <c r="H25" s="15">
        <f t="shared" si="1"/>
        <v>0.17650168292610277</v>
      </c>
      <c r="I25" s="16">
        <v>64371.112000000008</v>
      </c>
      <c r="J25" s="16">
        <v>142013.06280000001</v>
      </c>
      <c r="K25" s="17">
        <f t="shared" si="2"/>
        <v>74370.701699999976</v>
      </c>
      <c r="L25" s="15">
        <f t="shared" si="3"/>
        <v>4.675450048841865E-2</v>
      </c>
    </row>
    <row r="26" spans="1:12" x14ac:dyDescent="0.3">
      <c r="A26" s="18" t="str">
        <v>Feb-26</v>
      </c>
      <c r="B26" s="18" t="str">
        <v>ST003</v>
      </c>
      <c r="C26" s="19">
        <v>1427044</v>
      </c>
      <c r="D26" s="19">
        <v>1141194</v>
      </c>
      <c r="E26" s="13">
        <f>C26*(1+Assumptions!$B$12)</f>
        <v>1469855.32</v>
      </c>
      <c r="F26" s="13">
        <f>D26*(1+Assumptions!$B$12)*(1+Assumptions!$B$13)</f>
        <v>1210692.7146000001</v>
      </c>
      <c r="G26" s="14">
        <f t="shared" si="0"/>
        <v>259162.6054</v>
      </c>
      <c r="H26" s="15">
        <f t="shared" si="1"/>
        <v>0.17631844568212332</v>
      </c>
      <c r="I26" s="16">
        <v>66752.722399999999</v>
      </c>
      <c r="J26" s="16">
        <v>137888.89129999999</v>
      </c>
      <c r="K26" s="17">
        <f t="shared" si="2"/>
        <v>54520.991700000013</v>
      </c>
      <c r="L26" s="15">
        <f t="shared" si="3"/>
        <v>3.7092760735117802E-2</v>
      </c>
    </row>
    <row r="27" spans="1:12" x14ac:dyDescent="0.3">
      <c r="A27" s="18" t="str">
        <v>Feb-26</v>
      </c>
      <c r="B27" s="18" t="str">
        <v>ST004</v>
      </c>
      <c r="C27" s="19">
        <v>1392310</v>
      </c>
      <c r="D27" s="19">
        <v>1078470</v>
      </c>
      <c r="E27" s="13">
        <f>C27*(1+Assumptions!$B$12)</f>
        <v>1434079.3</v>
      </c>
      <c r="F27" s="13">
        <f>D27*(1+Assumptions!$B$12)*(1+Assumptions!$B$13)</f>
        <v>1144148.8230000001</v>
      </c>
      <c r="G27" s="14">
        <f t="shared" si="0"/>
        <v>289930.47699999996</v>
      </c>
      <c r="H27" s="15">
        <f t="shared" si="1"/>
        <v>0.20217185827868789</v>
      </c>
      <c r="I27" s="16">
        <v>63165.304800000005</v>
      </c>
      <c r="J27" s="16">
        <v>139854.50210000001</v>
      </c>
      <c r="K27" s="17">
        <f t="shared" si="2"/>
        <v>86910.67009999993</v>
      </c>
      <c r="L27" s="15">
        <f t="shared" si="3"/>
        <v>6.0603810472684407E-2</v>
      </c>
    </row>
    <row r="28" spans="1:12" x14ac:dyDescent="0.3">
      <c r="A28" s="18" t="str">
        <v>Feb-26</v>
      </c>
      <c r="B28" s="18" t="str">
        <v>ST005</v>
      </c>
      <c r="C28" s="19">
        <v>1579876</v>
      </c>
      <c r="D28" s="19">
        <v>1238996</v>
      </c>
      <c r="E28" s="13">
        <f>C28*(1+Assumptions!$B$12)</f>
        <v>1627272.28</v>
      </c>
      <c r="F28" s="13">
        <f>D28*(1+Assumptions!$B$12)*(1+Assumptions!$B$13)</f>
        <v>1314450.8564000002</v>
      </c>
      <c r="G28" s="14">
        <f t="shared" si="0"/>
        <v>312821.42359999986</v>
      </c>
      <c r="H28" s="15">
        <f t="shared" si="1"/>
        <v>0.19223668186617168</v>
      </c>
      <c r="I28" s="16">
        <v>68004.570400000011</v>
      </c>
      <c r="J28" s="16">
        <v>138846.06</v>
      </c>
      <c r="K28" s="17">
        <f t="shared" si="2"/>
        <v>105970.79319999984</v>
      </c>
      <c r="L28" s="15">
        <f t="shared" si="3"/>
        <v>6.5121734391001759E-2</v>
      </c>
    </row>
    <row r="29" spans="1:12" x14ac:dyDescent="0.3">
      <c r="A29" s="18" t="str">
        <v>Feb-26</v>
      </c>
      <c r="B29" s="18" t="str">
        <v>ST006</v>
      </c>
      <c r="C29" s="19">
        <v>1539272</v>
      </c>
      <c r="D29" s="19">
        <v>1244418</v>
      </c>
      <c r="E29" s="13">
        <f>C29*(1+Assumptions!$B$12)</f>
        <v>1585450.1600000001</v>
      </c>
      <c r="F29" s="13">
        <f>D29*(1+Assumptions!$B$12)*(1+Assumptions!$B$13)</f>
        <v>1320203.0562</v>
      </c>
      <c r="G29" s="14">
        <f t="shared" si="0"/>
        <v>265247.10380000016</v>
      </c>
      <c r="H29" s="15">
        <f t="shared" si="1"/>
        <v>0.1673008149306946</v>
      </c>
      <c r="I29" s="16">
        <v>63671.576800000003</v>
      </c>
      <c r="J29" s="16">
        <v>136864.5975</v>
      </c>
      <c r="K29" s="17">
        <f t="shared" si="2"/>
        <v>64710.929500000144</v>
      </c>
      <c r="L29" s="15">
        <f t="shared" si="3"/>
        <v>4.0815492743083222E-2</v>
      </c>
    </row>
    <row r="30" spans="1:12" x14ac:dyDescent="0.3">
      <c r="A30" s="18" t="str">
        <v>Feb-26</v>
      </c>
      <c r="B30" s="18" t="str">
        <v>ST007</v>
      </c>
      <c r="C30" s="19">
        <v>1453896</v>
      </c>
      <c r="D30" s="19">
        <v>1157917</v>
      </c>
      <c r="E30" s="13">
        <f>C30*(1+Assumptions!$B$12)</f>
        <v>1497512.8800000001</v>
      </c>
      <c r="F30" s="13">
        <f>D30*(1+Assumptions!$B$12)*(1+Assumptions!$B$13)</f>
        <v>1228434.1453</v>
      </c>
      <c r="G30" s="14">
        <f t="shared" si="0"/>
        <v>269078.73470000015</v>
      </c>
      <c r="H30" s="15">
        <f t="shared" si="1"/>
        <v>0.17968375317079083</v>
      </c>
      <c r="I30" s="16">
        <v>64923.872000000003</v>
      </c>
      <c r="J30" s="16">
        <v>138566.11629999999</v>
      </c>
      <c r="K30" s="17">
        <f t="shared" si="2"/>
        <v>65588.746400000149</v>
      </c>
      <c r="L30" s="15">
        <f t="shared" si="3"/>
        <v>4.3798452271075053E-2</v>
      </c>
    </row>
    <row r="31" spans="1:12" x14ac:dyDescent="0.3">
      <c r="A31" s="18" t="str">
        <v>Feb-26</v>
      </c>
      <c r="B31" s="18" t="str">
        <v>ST008</v>
      </c>
      <c r="C31" s="19">
        <v>1279631</v>
      </c>
      <c r="D31" s="19">
        <v>1010728</v>
      </c>
      <c r="E31" s="13">
        <f>C31*(1+Assumptions!$B$12)</f>
        <v>1318019.93</v>
      </c>
      <c r="F31" s="13">
        <f>D31*(1+Assumptions!$B$12)*(1+Assumptions!$B$13)</f>
        <v>1072281.3352000001</v>
      </c>
      <c r="G31" s="14">
        <f t="shared" si="0"/>
        <v>245738.59479999985</v>
      </c>
      <c r="H31" s="15">
        <f t="shared" si="1"/>
        <v>0.18644527992835425</v>
      </c>
      <c r="I31" s="16">
        <v>64078.788800000002</v>
      </c>
      <c r="J31" s="16">
        <v>116964.637</v>
      </c>
      <c r="K31" s="17">
        <f t="shared" si="2"/>
        <v>64695.168999999834</v>
      </c>
      <c r="L31" s="15">
        <f t="shared" si="3"/>
        <v>4.9085121952594325E-2</v>
      </c>
    </row>
    <row r="32" spans="1:12" x14ac:dyDescent="0.3">
      <c r="A32" s="18" t="str">
        <v>Feb-26</v>
      </c>
      <c r="B32" s="18" t="str">
        <v>ST009</v>
      </c>
      <c r="C32" s="19">
        <v>1405211</v>
      </c>
      <c r="D32" s="19">
        <v>1106469</v>
      </c>
      <c r="E32" s="13">
        <f>C32*(1+Assumptions!$B$12)</f>
        <v>1447367.33</v>
      </c>
      <c r="F32" s="13">
        <f>D32*(1+Assumptions!$B$12)*(1+Assumptions!$B$13)</f>
        <v>1173852.9621000001</v>
      </c>
      <c r="G32" s="14">
        <f t="shared" si="0"/>
        <v>273514.36789999995</v>
      </c>
      <c r="H32" s="15">
        <f t="shared" si="1"/>
        <v>0.18897370572817887</v>
      </c>
      <c r="I32" s="16">
        <v>67033.449600000007</v>
      </c>
      <c r="J32" s="16">
        <v>129149.00140000001</v>
      </c>
      <c r="K32" s="17">
        <f t="shared" si="2"/>
        <v>77331.916899999953</v>
      </c>
      <c r="L32" s="15">
        <f t="shared" si="3"/>
        <v>5.3429364679662868E-2</v>
      </c>
    </row>
    <row r="33" spans="1:12" x14ac:dyDescent="0.3">
      <c r="A33" s="18" t="str">
        <v>Feb-26</v>
      </c>
      <c r="B33" s="18" t="str">
        <v>ST010</v>
      </c>
      <c r="C33" s="19">
        <v>1469979</v>
      </c>
      <c r="D33" s="19">
        <v>1158835</v>
      </c>
      <c r="E33" s="13">
        <f>C33*(1+Assumptions!$B$12)</f>
        <v>1514078.37</v>
      </c>
      <c r="F33" s="13">
        <f>D33*(1+Assumptions!$B$12)*(1+Assumptions!$B$13)</f>
        <v>1229408.0515000001</v>
      </c>
      <c r="G33" s="14">
        <f t="shared" si="0"/>
        <v>284670.31850000005</v>
      </c>
      <c r="H33" s="15">
        <f t="shared" si="1"/>
        <v>0.18801557709327824</v>
      </c>
      <c r="I33" s="16">
        <v>68185.655200000008</v>
      </c>
      <c r="J33" s="16">
        <v>132962.84419999999</v>
      </c>
      <c r="K33" s="17">
        <f t="shared" si="2"/>
        <v>83521.819100000052</v>
      </c>
      <c r="L33" s="15">
        <f t="shared" si="3"/>
        <v>5.5163471557948512E-2</v>
      </c>
    </row>
    <row r="34" spans="1:12" x14ac:dyDescent="0.3">
      <c r="A34" s="18" t="str">
        <v>Feb-26</v>
      </c>
      <c r="B34" s="18" t="str">
        <v>ST011</v>
      </c>
      <c r="C34" s="19">
        <v>1436036</v>
      </c>
      <c r="D34" s="19">
        <v>1144663</v>
      </c>
      <c r="E34" s="13">
        <f>C34*(1+Assumptions!$B$12)</f>
        <v>1479117.08</v>
      </c>
      <c r="F34" s="13">
        <f>D34*(1+Assumptions!$B$12)*(1+Assumptions!$B$13)</f>
        <v>1214372.9767000002</v>
      </c>
      <c r="G34" s="14">
        <f t="shared" si="0"/>
        <v>264744.10329999984</v>
      </c>
      <c r="H34" s="15">
        <f t="shared" si="1"/>
        <v>0.17898792927196799</v>
      </c>
      <c r="I34" s="16">
        <v>67156.200800000006</v>
      </c>
      <c r="J34" s="16">
        <v>134084.576</v>
      </c>
      <c r="K34" s="17">
        <f t="shared" si="2"/>
        <v>63503.32649999985</v>
      </c>
      <c r="L34" s="15">
        <f t="shared" si="3"/>
        <v>4.2933265634387673E-2</v>
      </c>
    </row>
    <row r="35" spans="1:12" x14ac:dyDescent="0.3">
      <c r="A35" s="18" t="str">
        <v>Feb-26</v>
      </c>
      <c r="B35" s="18" t="str">
        <v>ST012</v>
      </c>
      <c r="C35" s="19">
        <v>1514190</v>
      </c>
      <c r="D35" s="19">
        <v>1193099</v>
      </c>
      <c r="E35" s="13">
        <f>C35*(1+Assumptions!$B$12)</f>
        <v>1559615.7</v>
      </c>
      <c r="F35" s="13">
        <f>D35*(1+Assumptions!$B$12)*(1+Assumptions!$B$13)</f>
        <v>1265758.7291000001</v>
      </c>
      <c r="G35" s="14">
        <f t="shared" si="0"/>
        <v>293856.97089999984</v>
      </c>
      <c r="H35" s="15">
        <f t="shared" si="1"/>
        <v>0.18841626876415762</v>
      </c>
      <c r="I35" s="16">
        <v>65687.668799999999</v>
      </c>
      <c r="J35" s="16">
        <v>143610.42800000001</v>
      </c>
      <c r="K35" s="17">
        <f t="shared" si="2"/>
        <v>84558.874099999841</v>
      </c>
      <c r="L35" s="15">
        <f t="shared" si="3"/>
        <v>5.4217762811697677E-2</v>
      </c>
    </row>
    <row r="36" spans="1:12" x14ac:dyDescent="0.3">
      <c r="A36" s="18" t="str">
        <v>Feb-26</v>
      </c>
      <c r="B36" s="18" t="str">
        <v>ST013</v>
      </c>
      <c r="C36" s="19">
        <v>1358789</v>
      </c>
      <c r="D36" s="19">
        <v>1069109</v>
      </c>
      <c r="E36" s="13">
        <f>C36*(1+Assumptions!$B$12)</f>
        <v>1399552.67</v>
      </c>
      <c r="F36" s="13">
        <f>D36*(1+Assumptions!$B$12)*(1+Assumptions!$B$13)</f>
        <v>1134217.7381</v>
      </c>
      <c r="G36" s="14">
        <f t="shared" si="0"/>
        <v>265334.93189999997</v>
      </c>
      <c r="H36" s="15">
        <f t="shared" si="1"/>
        <v>0.18958552799588455</v>
      </c>
      <c r="I36" s="16">
        <v>68043.123200000002</v>
      </c>
      <c r="J36" s="16">
        <v>113729.6645</v>
      </c>
      <c r="K36" s="17">
        <f t="shared" si="2"/>
        <v>83562.144199999966</v>
      </c>
      <c r="L36" s="15">
        <f t="shared" si="3"/>
        <v>5.9706323306860591E-2</v>
      </c>
    </row>
    <row r="37" spans="1:12" x14ac:dyDescent="0.3">
      <c r="A37" s="18" t="str">
        <v>Feb-26</v>
      </c>
      <c r="B37" s="18" t="str">
        <v>ST014</v>
      </c>
      <c r="C37" s="19">
        <v>1370538</v>
      </c>
      <c r="D37" s="19">
        <v>1096920</v>
      </c>
      <c r="E37" s="13">
        <f>C37*(1+Assumptions!$B$12)</f>
        <v>1411654.1400000001</v>
      </c>
      <c r="F37" s="13">
        <f>D37*(1+Assumptions!$B$12)*(1+Assumptions!$B$13)</f>
        <v>1163722.4280000001</v>
      </c>
      <c r="G37" s="14">
        <f t="shared" si="0"/>
        <v>247931.71200000006</v>
      </c>
      <c r="H37" s="15">
        <f t="shared" si="1"/>
        <v>0.17563205106315916</v>
      </c>
      <c r="I37" s="16">
        <v>65657.685599999997</v>
      </c>
      <c r="J37" s="16">
        <v>134803.10399999999</v>
      </c>
      <c r="K37" s="17">
        <f t="shared" si="2"/>
        <v>47470.922400000069</v>
      </c>
      <c r="L37" s="15">
        <f t="shared" si="3"/>
        <v>3.3627870350736236E-2</v>
      </c>
    </row>
    <row r="38" spans="1:12" x14ac:dyDescent="0.3">
      <c r="A38" s="18" t="str">
        <v>Feb-26</v>
      </c>
      <c r="B38" s="18" t="str">
        <v>ST015</v>
      </c>
      <c r="C38" s="19">
        <v>1514678</v>
      </c>
      <c r="D38" s="19">
        <v>1209703</v>
      </c>
      <c r="E38" s="13">
        <f>C38*(1+Assumptions!$B$12)</f>
        <v>1560118.34</v>
      </c>
      <c r="F38" s="13">
        <f>D38*(1+Assumptions!$B$12)*(1+Assumptions!$B$13)</f>
        <v>1283373.9127000002</v>
      </c>
      <c r="G38" s="14">
        <f t="shared" si="0"/>
        <v>276744.42729999986</v>
      </c>
      <c r="H38" s="15">
        <f t="shared" si="1"/>
        <v>0.17738681752821381</v>
      </c>
      <c r="I38" s="16">
        <v>65918.736000000004</v>
      </c>
      <c r="J38" s="16">
        <v>117026.334</v>
      </c>
      <c r="K38" s="17">
        <f t="shared" si="2"/>
        <v>93799.357299999858</v>
      </c>
      <c r="L38" s="15">
        <f t="shared" si="3"/>
        <v>6.0123232254291586E-2</v>
      </c>
    </row>
    <row r="39" spans="1:12" x14ac:dyDescent="0.3">
      <c r="A39" s="18" t="str">
        <v>Feb-26</v>
      </c>
      <c r="B39" s="18" t="str">
        <v>ST016</v>
      </c>
      <c r="C39" s="19">
        <v>1342383</v>
      </c>
      <c r="D39" s="19">
        <v>1086735</v>
      </c>
      <c r="E39" s="13">
        <f>C39*(1+Assumptions!$B$12)</f>
        <v>1382654.49</v>
      </c>
      <c r="F39" s="13">
        <f>D39*(1+Assumptions!$B$12)*(1+Assumptions!$B$13)</f>
        <v>1152917.1615000002</v>
      </c>
      <c r="G39" s="14">
        <f t="shared" si="0"/>
        <v>229737.32849999983</v>
      </c>
      <c r="H39" s="15">
        <f t="shared" si="1"/>
        <v>0.16615671533385021</v>
      </c>
      <c r="I39" s="16">
        <v>65757.754400000005</v>
      </c>
      <c r="J39" s="16">
        <v>113821.04609999999</v>
      </c>
      <c r="K39" s="17">
        <f t="shared" si="2"/>
        <v>50158.527999999831</v>
      </c>
      <c r="L39" s="15">
        <f t="shared" si="3"/>
        <v>3.6276979073781357E-2</v>
      </c>
    </row>
    <row r="40" spans="1:12" x14ac:dyDescent="0.3">
      <c r="A40" s="18" t="str">
        <v>Feb-26</v>
      </c>
      <c r="B40" s="18" t="str">
        <v>ST017</v>
      </c>
      <c r="C40" s="19">
        <v>1415320</v>
      </c>
      <c r="D40" s="19">
        <v>1098695</v>
      </c>
      <c r="E40" s="13">
        <f>C40*(1+Assumptions!$B$12)</f>
        <v>1457779.6</v>
      </c>
      <c r="F40" s="13">
        <f>D40*(1+Assumptions!$B$12)*(1+Assumptions!$B$13)</f>
        <v>1165605.5255000002</v>
      </c>
      <c r="G40" s="14">
        <f t="shared" si="0"/>
        <v>292174.07449999987</v>
      </c>
      <c r="H40" s="15">
        <f t="shared" si="1"/>
        <v>0.20042403838001291</v>
      </c>
      <c r="I40" s="16">
        <v>66389.720799999996</v>
      </c>
      <c r="J40" s="16">
        <v>129462.2038</v>
      </c>
      <c r="K40" s="17">
        <f t="shared" si="2"/>
        <v>96322.149899999858</v>
      </c>
      <c r="L40" s="15">
        <f t="shared" si="3"/>
        <v>6.6074562917466981E-2</v>
      </c>
    </row>
    <row r="41" spans="1:12" x14ac:dyDescent="0.3">
      <c r="A41" s="18" t="str">
        <v>Feb-26</v>
      </c>
      <c r="B41" s="18" t="str">
        <v>ST018</v>
      </c>
      <c r="C41" s="19">
        <v>1492351</v>
      </c>
      <c r="D41" s="19">
        <v>1177128</v>
      </c>
      <c r="E41" s="13">
        <f>C41*(1+Assumptions!$B$12)</f>
        <v>1537121.53</v>
      </c>
      <c r="F41" s="13">
        <f>D41*(1+Assumptions!$B$12)*(1+Assumptions!$B$13)</f>
        <v>1248815.0952000001</v>
      </c>
      <c r="G41" s="14">
        <f t="shared" si="0"/>
        <v>288306.43479999993</v>
      </c>
      <c r="H41" s="15">
        <f t="shared" si="1"/>
        <v>0.18756255063319549</v>
      </c>
      <c r="I41" s="16">
        <v>67622.412000000011</v>
      </c>
      <c r="J41" s="16">
        <v>132398.02310000002</v>
      </c>
      <c r="K41" s="17">
        <f t="shared" si="2"/>
        <v>88285.999699999898</v>
      </c>
      <c r="L41" s="15">
        <f t="shared" si="3"/>
        <v>5.7435926813151787E-2</v>
      </c>
    </row>
    <row r="42" spans="1:12" x14ac:dyDescent="0.3">
      <c r="A42" s="18" t="str">
        <v>Feb-26</v>
      </c>
      <c r="B42" s="18" t="str">
        <v>ST019</v>
      </c>
      <c r="C42" s="19">
        <v>1411028</v>
      </c>
      <c r="D42" s="19">
        <v>1136800</v>
      </c>
      <c r="E42" s="13">
        <f>C42*(1+Assumptions!$B$12)</f>
        <v>1453358.84</v>
      </c>
      <c r="F42" s="13">
        <f>D42*(1+Assumptions!$B$12)*(1+Assumptions!$B$13)</f>
        <v>1206031.1200000001</v>
      </c>
      <c r="G42" s="14">
        <f t="shared" si="0"/>
        <v>247327.71999999997</v>
      </c>
      <c r="H42" s="15">
        <f t="shared" si="1"/>
        <v>0.17017663717516587</v>
      </c>
      <c r="I42" s="16">
        <v>15768.8752</v>
      </c>
      <c r="J42" s="16">
        <v>26157.056</v>
      </c>
      <c r="K42" s="17">
        <f t="shared" si="2"/>
        <v>205401.78879999995</v>
      </c>
      <c r="L42" s="15">
        <f t="shared" si="3"/>
        <v>0.14132902566581557</v>
      </c>
    </row>
    <row r="43" spans="1:12" x14ac:dyDescent="0.3">
      <c r="A43" s="18" t="str">
        <v>Feb-26</v>
      </c>
      <c r="B43" s="18" t="str">
        <v>ST020</v>
      </c>
      <c r="C43" s="19">
        <v>1530235</v>
      </c>
      <c r="D43" s="19">
        <v>1198309</v>
      </c>
      <c r="E43" s="13">
        <f>C43*(1+Assumptions!$B$12)</f>
        <v>1576142.05</v>
      </c>
      <c r="F43" s="13">
        <f>D43*(1+Assumptions!$B$12)*(1+Assumptions!$B$13)</f>
        <v>1271286.0181</v>
      </c>
      <c r="G43" s="14">
        <f t="shared" si="0"/>
        <v>304856.03190000006</v>
      </c>
      <c r="H43" s="15">
        <f t="shared" si="1"/>
        <v>0.1934191349694655</v>
      </c>
      <c r="I43" s="16">
        <v>14828.7464</v>
      </c>
      <c r="J43" s="16">
        <v>31220.412400000001</v>
      </c>
      <c r="K43" s="17">
        <f t="shared" si="2"/>
        <v>258806.87310000006</v>
      </c>
      <c r="L43" s="15">
        <f t="shared" si="3"/>
        <v>0.16420275894548975</v>
      </c>
    </row>
    <row r="44" spans="1:12" x14ac:dyDescent="0.3">
      <c r="A44" s="18" t="str">
        <v>Feb-26</v>
      </c>
      <c r="B44" s="18" t="str">
        <v>ST021</v>
      </c>
      <c r="C44" s="19">
        <v>1328931</v>
      </c>
      <c r="D44" s="19">
        <v>1049022</v>
      </c>
      <c r="E44" s="13">
        <f>C44*(1+Assumptions!$B$12)</f>
        <v>1368798.93</v>
      </c>
      <c r="F44" s="13">
        <f>D44*(1+Assumptions!$B$12)*(1+Assumptions!$B$13)</f>
        <v>1112907.4398000001</v>
      </c>
      <c r="G44" s="14">
        <f t="shared" si="0"/>
        <v>255891.49019999988</v>
      </c>
      <c r="H44" s="15">
        <f t="shared" si="1"/>
        <v>0.18694600396860325</v>
      </c>
      <c r="I44" s="16">
        <v>14793.937600000001</v>
      </c>
      <c r="J44" s="16">
        <v>26576.842799999999</v>
      </c>
      <c r="K44" s="17">
        <f t="shared" si="2"/>
        <v>214520.7097999999</v>
      </c>
      <c r="L44" s="15">
        <f t="shared" si="3"/>
        <v>0.1567218567302649</v>
      </c>
    </row>
    <row r="45" spans="1:12" x14ac:dyDescent="0.3">
      <c r="A45" s="18" t="str">
        <v>Feb-26</v>
      </c>
      <c r="B45" s="18" t="str">
        <v>ST022</v>
      </c>
      <c r="C45" s="19">
        <v>1485406</v>
      </c>
      <c r="D45" s="19">
        <v>1175830</v>
      </c>
      <c r="E45" s="13">
        <f>C45*(1+Assumptions!$B$12)</f>
        <v>1529968.18</v>
      </c>
      <c r="F45" s="13">
        <f>D45*(1+Assumptions!$B$12)*(1+Assumptions!$B$13)</f>
        <v>1247438.0470000003</v>
      </c>
      <c r="G45" s="14">
        <f t="shared" si="0"/>
        <v>282530.13299999968</v>
      </c>
      <c r="H45" s="15">
        <f t="shared" si="1"/>
        <v>0.18466405817668685</v>
      </c>
      <c r="I45" s="16">
        <v>15666.6952</v>
      </c>
      <c r="J45" s="16">
        <v>28717.996500000001</v>
      </c>
      <c r="K45" s="17">
        <f t="shared" si="2"/>
        <v>238145.44129999966</v>
      </c>
      <c r="L45" s="15">
        <f t="shared" si="3"/>
        <v>0.15565385242195015</v>
      </c>
    </row>
    <row r="46" spans="1:12" x14ac:dyDescent="0.3">
      <c r="A46" s="18" t="str">
        <v>Mar-26</v>
      </c>
      <c r="B46" s="18" t="str">
        <v>ST001</v>
      </c>
      <c r="C46" s="19">
        <v>1748449</v>
      </c>
      <c r="D46" s="19">
        <v>1353661</v>
      </c>
      <c r="E46" s="13">
        <f>C46*(1+Assumptions!$B$12)</f>
        <v>1800902.47</v>
      </c>
      <c r="F46" s="13">
        <f>D46*(1+Assumptions!$B$12)*(1+Assumptions!$B$13)</f>
        <v>1436098.9549</v>
      </c>
      <c r="G46" s="14">
        <f t="shared" si="0"/>
        <v>364803.51509999996</v>
      </c>
      <c r="H46" s="15">
        <f t="shared" si="1"/>
        <v>0.20256705800397951</v>
      </c>
      <c r="I46" s="16">
        <v>73730.987199999989</v>
      </c>
      <c r="J46" s="16">
        <v>137543.83100000001</v>
      </c>
      <c r="K46" s="17">
        <f t="shared" si="2"/>
        <v>153528.69689999998</v>
      </c>
      <c r="L46" s="15">
        <f t="shared" si="3"/>
        <v>8.5250978027699625E-2</v>
      </c>
    </row>
    <row r="47" spans="1:12" x14ac:dyDescent="0.3">
      <c r="A47" s="18" t="str">
        <v>Mar-26</v>
      </c>
      <c r="B47" s="18" t="str">
        <v>ST002</v>
      </c>
      <c r="C47" s="19">
        <v>1665712</v>
      </c>
      <c r="D47" s="19">
        <v>1334513</v>
      </c>
      <c r="E47" s="13">
        <f>C47*(1+Assumptions!$B$12)</f>
        <v>1715683.36</v>
      </c>
      <c r="F47" s="13">
        <f>D47*(1+Assumptions!$B$12)*(1+Assumptions!$B$13)</f>
        <v>1415784.8417000002</v>
      </c>
      <c r="G47" s="14">
        <f t="shared" si="0"/>
        <v>299898.51829999988</v>
      </c>
      <c r="H47" s="15">
        <f t="shared" si="1"/>
        <v>0.17479829046077586</v>
      </c>
      <c r="I47" s="16">
        <v>72708.282399999996</v>
      </c>
      <c r="J47" s="16">
        <v>133813.91260000001</v>
      </c>
      <c r="K47" s="17">
        <f t="shared" si="2"/>
        <v>93376.323299999873</v>
      </c>
      <c r="L47" s="15">
        <f t="shared" si="3"/>
        <v>5.442514946347668E-2</v>
      </c>
    </row>
    <row r="48" spans="1:12" x14ac:dyDescent="0.3">
      <c r="A48" s="18" t="str">
        <v>Mar-26</v>
      </c>
      <c r="B48" s="18" t="str">
        <v>ST003</v>
      </c>
      <c r="C48" s="19">
        <v>1532075</v>
      </c>
      <c r="D48" s="19">
        <v>1204177</v>
      </c>
      <c r="E48" s="13">
        <f>C48*(1+Assumptions!$B$12)</f>
        <v>1578037.25</v>
      </c>
      <c r="F48" s="13">
        <f>D48*(1+Assumptions!$B$12)*(1+Assumptions!$B$13)</f>
        <v>1277511.3793000001</v>
      </c>
      <c r="G48" s="14">
        <f t="shared" si="0"/>
        <v>300525.87069999985</v>
      </c>
      <c r="H48" s="15">
        <f t="shared" si="1"/>
        <v>0.19044282427426845</v>
      </c>
      <c r="I48" s="16">
        <v>75717.002399999998</v>
      </c>
      <c r="J48" s="16">
        <v>127725.8607</v>
      </c>
      <c r="K48" s="17">
        <f t="shared" si="2"/>
        <v>97083.007599999852</v>
      </c>
      <c r="L48" s="15">
        <f t="shared" si="3"/>
        <v>6.1521366241512901E-2</v>
      </c>
    </row>
    <row r="49" spans="1:12" x14ac:dyDescent="0.3">
      <c r="A49" s="18" t="str">
        <v>Mar-26</v>
      </c>
      <c r="B49" s="18" t="str">
        <v>ST004</v>
      </c>
      <c r="C49" s="19">
        <v>1616182</v>
      </c>
      <c r="D49" s="19">
        <v>1251676</v>
      </c>
      <c r="E49" s="13">
        <f>C49*(1+Assumptions!$B$12)</f>
        <v>1664667.46</v>
      </c>
      <c r="F49" s="13">
        <f>D49*(1+Assumptions!$B$12)*(1+Assumptions!$B$13)</f>
        <v>1327903.0684</v>
      </c>
      <c r="G49" s="14">
        <f t="shared" si="0"/>
        <v>336764.39159999997</v>
      </c>
      <c r="H49" s="15">
        <f t="shared" si="1"/>
        <v>0.20230130022485091</v>
      </c>
      <c r="I49" s="16">
        <v>73142.191200000001</v>
      </c>
      <c r="J49" s="16">
        <v>118023.5594</v>
      </c>
      <c r="K49" s="17">
        <f t="shared" si="2"/>
        <v>145598.64099999997</v>
      </c>
      <c r="L49" s="15">
        <f t="shared" si="3"/>
        <v>8.7464099886952779E-2</v>
      </c>
    </row>
    <row r="50" spans="1:12" x14ac:dyDescent="0.3">
      <c r="A50" s="18" t="str">
        <v>Mar-26</v>
      </c>
      <c r="B50" s="18" t="str">
        <v>ST005</v>
      </c>
      <c r="C50" s="19">
        <v>1662829</v>
      </c>
      <c r="D50" s="19">
        <v>1312873</v>
      </c>
      <c r="E50" s="13">
        <f>C50*(1+Assumptions!$B$12)</f>
        <v>1712713.87</v>
      </c>
      <c r="F50" s="13">
        <f>D50*(1+Assumptions!$B$12)*(1+Assumptions!$B$13)</f>
        <v>1392826.9657000001</v>
      </c>
      <c r="G50" s="14">
        <f t="shared" si="0"/>
        <v>319886.90430000005</v>
      </c>
      <c r="H50" s="15">
        <f t="shared" si="1"/>
        <v>0.18677194708535877</v>
      </c>
      <c r="I50" s="16">
        <v>72265.585600000006</v>
      </c>
      <c r="J50" s="16">
        <v>132694.63220000002</v>
      </c>
      <c r="K50" s="17">
        <f t="shared" si="2"/>
        <v>114926.68650000004</v>
      </c>
      <c r="L50" s="15">
        <f t="shared" si="3"/>
        <v>6.7102093649770017E-2</v>
      </c>
    </row>
    <row r="51" spans="1:12" x14ac:dyDescent="0.3">
      <c r="A51" s="18" t="str">
        <v>Mar-26</v>
      </c>
      <c r="B51" s="18" t="str">
        <v>ST006</v>
      </c>
      <c r="C51" s="19">
        <v>1634330</v>
      </c>
      <c r="D51" s="19">
        <v>1273272</v>
      </c>
      <c r="E51" s="13">
        <f>C51*(1+Assumptions!$B$12)</f>
        <v>1683359.9000000001</v>
      </c>
      <c r="F51" s="13">
        <f>D51*(1+Assumptions!$B$12)*(1+Assumptions!$B$13)</f>
        <v>1350814.2648000002</v>
      </c>
      <c r="G51" s="14">
        <f t="shared" si="0"/>
        <v>332545.6351999999</v>
      </c>
      <c r="H51" s="15">
        <f t="shared" si="1"/>
        <v>0.19754874474555315</v>
      </c>
      <c r="I51" s="16">
        <v>71447.324000000008</v>
      </c>
      <c r="J51" s="16">
        <v>135631.533</v>
      </c>
      <c r="K51" s="17">
        <f t="shared" si="2"/>
        <v>125466.77819999988</v>
      </c>
      <c r="L51" s="15">
        <f t="shared" si="3"/>
        <v>7.4533543421106727E-2</v>
      </c>
    </row>
    <row r="52" spans="1:12" x14ac:dyDescent="0.3">
      <c r="A52" s="18" t="str">
        <v>Mar-26</v>
      </c>
      <c r="B52" s="18" t="str">
        <v>ST007</v>
      </c>
      <c r="C52" s="19">
        <v>1698688</v>
      </c>
      <c r="D52" s="19">
        <v>1341167</v>
      </c>
      <c r="E52" s="13">
        <f>C52*(1+Assumptions!$B$12)</f>
        <v>1749648.6400000001</v>
      </c>
      <c r="F52" s="13">
        <f>D52*(1+Assumptions!$B$12)*(1+Assumptions!$B$13)</f>
        <v>1422844.0703</v>
      </c>
      <c r="G52" s="14">
        <f t="shared" si="0"/>
        <v>326804.56970000011</v>
      </c>
      <c r="H52" s="15">
        <f t="shared" si="1"/>
        <v>0.18678297015108136</v>
      </c>
      <c r="I52" s="16">
        <v>72327.569600000003</v>
      </c>
      <c r="J52" s="16">
        <v>138624.68210000001</v>
      </c>
      <c r="K52" s="17">
        <f t="shared" si="2"/>
        <v>115852.31800000012</v>
      </c>
      <c r="L52" s="15">
        <f t="shared" si="3"/>
        <v>6.6214618953437485E-2</v>
      </c>
    </row>
    <row r="53" spans="1:12" x14ac:dyDescent="0.3">
      <c r="A53" s="18" t="str">
        <v>Mar-26</v>
      </c>
      <c r="B53" s="18" t="str">
        <v>ST008</v>
      </c>
      <c r="C53" s="19">
        <v>1563354</v>
      </c>
      <c r="D53" s="19">
        <v>1233825</v>
      </c>
      <c r="E53" s="13">
        <f>C53*(1+Assumptions!$B$12)</f>
        <v>1610254.62</v>
      </c>
      <c r="F53" s="13">
        <f>D53*(1+Assumptions!$B$12)*(1+Assumptions!$B$13)</f>
        <v>1308964.9425000001</v>
      </c>
      <c r="G53" s="14">
        <f t="shared" si="0"/>
        <v>301289.67749999999</v>
      </c>
      <c r="H53" s="15">
        <f t="shared" si="1"/>
        <v>0.1871068548773982</v>
      </c>
      <c r="I53" s="16">
        <v>71573.008000000002</v>
      </c>
      <c r="J53" s="16">
        <v>124471.40060000001</v>
      </c>
      <c r="K53" s="17">
        <f t="shared" si="2"/>
        <v>105245.26889999998</v>
      </c>
      <c r="L53" s="15">
        <f t="shared" si="3"/>
        <v>6.5359395708487381E-2</v>
      </c>
    </row>
    <row r="54" spans="1:12" x14ac:dyDescent="0.3">
      <c r="A54" s="18" t="str">
        <v>Mar-26</v>
      </c>
      <c r="B54" s="18" t="str">
        <v>ST009</v>
      </c>
      <c r="C54" s="19">
        <v>1575658</v>
      </c>
      <c r="D54" s="19">
        <v>1230950</v>
      </c>
      <c r="E54" s="13">
        <f>C54*(1+Assumptions!$B$12)</f>
        <v>1622927.74</v>
      </c>
      <c r="F54" s="13">
        <f>D54*(1+Assumptions!$B$12)*(1+Assumptions!$B$13)</f>
        <v>1305914.855</v>
      </c>
      <c r="G54" s="14">
        <f t="shared" si="0"/>
        <v>317012.88500000001</v>
      </c>
      <c r="H54" s="15">
        <f t="shared" si="1"/>
        <v>0.19533394937226226</v>
      </c>
      <c r="I54" s="16">
        <v>74371.200800000006</v>
      </c>
      <c r="J54" s="16">
        <v>126257.90470000001</v>
      </c>
      <c r="K54" s="17">
        <f t="shared" si="2"/>
        <v>116383.7795</v>
      </c>
      <c r="L54" s="15">
        <f t="shared" si="3"/>
        <v>7.1712237477683391E-2</v>
      </c>
    </row>
    <row r="55" spans="1:12" x14ac:dyDescent="0.3">
      <c r="A55" s="18" t="str">
        <v>Mar-26</v>
      </c>
      <c r="B55" s="18" t="str">
        <v>ST010</v>
      </c>
      <c r="C55" s="19">
        <v>1692982</v>
      </c>
      <c r="D55" s="19">
        <v>1335142</v>
      </c>
      <c r="E55" s="13">
        <f>C55*(1+Assumptions!$B$12)</f>
        <v>1743771.46</v>
      </c>
      <c r="F55" s="13">
        <f>D55*(1+Assumptions!$B$12)*(1+Assumptions!$B$13)</f>
        <v>1416452.1478000002</v>
      </c>
      <c r="G55" s="14">
        <f t="shared" si="0"/>
        <v>327319.31219999981</v>
      </c>
      <c r="H55" s="15">
        <f t="shared" si="1"/>
        <v>0.18770768974507693</v>
      </c>
      <c r="I55" s="16">
        <v>72628.410399999993</v>
      </c>
      <c r="J55" s="16">
        <v>126133.9957</v>
      </c>
      <c r="K55" s="17">
        <f t="shared" si="2"/>
        <v>128556.90609999982</v>
      </c>
      <c r="L55" s="15">
        <f t="shared" si="3"/>
        <v>7.3723483294077893E-2</v>
      </c>
    </row>
    <row r="56" spans="1:12" x14ac:dyDescent="0.3">
      <c r="A56" s="18" t="str">
        <v>Mar-26</v>
      </c>
      <c r="B56" s="18" t="str">
        <v>ST011</v>
      </c>
      <c r="C56" s="19">
        <v>1906509</v>
      </c>
      <c r="D56" s="19">
        <v>1498083</v>
      </c>
      <c r="E56" s="13">
        <f>C56*(1+Assumptions!$B$12)</f>
        <v>1963704.27</v>
      </c>
      <c r="F56" s="13">
        <f>D56*(1+Assumptions!$B$12)*(1+Assumptions!$B$13)</f>
        <v>1589316.2546999999</v>
      </c>
      <c r="G56" s="14">
        <f t="shared" si="0"/>
        <v>374388.01530000009</v>
      </c>
      <c r="H56" s="15">
        <f t="shared" si="1"/>
        <v>0.19065397016221799</v>
      </c>
      <c r="I56" s="16">
        <v>69733.237600000008</v>
      </c>
      <c r="J56" s="16">
        <v>129813.0012</v>
      </c>
      <c r="K56" s="17">
        <f t="shared" si="2"/>
        <v>174841.77650000009</v>
      </c>
      <c r="L56" s="15">
        <f t="shared" si="3"/>
        <v>8.9036714525247779E-2</v>
      </c>
    </row>
    <row r="57" spans="1:12" x14ac:dyDescent="0.3">
      <c r="A57" s="18" t="str">
        <v>Mar-26</v>
      </c>
      <c r="B57" s="18" t="str">
        <v>ST012</v>
      </c>
      <c r="C57" s="19">
        <v>1684287</v>
      </c>
      <c r="D57" s="19">
        <v>1323335</v>
      </c>
      <c r="E57" s="13">
        <f>C57*(1+Assumptions!$B$12)</f>
        <v>1734815.61</v>
      </c>
      <c r="F57" s="13">
        <f>D57*(1+Assumptions!$B$12)*(1+Assumptions!$B$13)</f>
        <v>1403926.1015000001</v>
      </c>
      <c r="G57" s="14">
        <f t="shared" si="0"/>
        <v>330889.5085</v>
      </c>
      <c r="H57" s="15">
        <f t="shared" si="1"/>
        <v>0.19073468476571984</v>
      </c>
      <c r="I57" s="16">
        <v>74769.489600000001</v>
      </c>
      <c r="J57" s="16">
        <v>136827.36300000001</v>
      </c>
      <c r="K57" s="17">
        <f t="shared" si="2"/>
        <v>119292.65589999998</v>
      </c>
      <c r="L57" s="15">
        <f t="shared" si="3"/>
        <v>6.8763882001269275E-2</v>
      </c>
    </row>
    <row r="58" spans="1:12" x14ac:dyDescent="0.3">
      <c r="A58" s="18" t="str">
        <v>Mar-26</v>
      </c>
      <c r="B58" s="18" t="str">
        <v>ST013</v>
      </c>
      <c r="C58" s="19">
        <v>1616318</v>
      </c>
      <c r="D58" s="19">
        <v>1271925</v>
      </c>
      <c r="E58" s="13">
        <f>C58*(1+Assumptions!$B$12)</f>
        <v>1664807.54</v>
      </c>
      <c r="F58" s="13">
        <f>D58*(1+Assumptions!$B$12)*(1+Assumptions!$B$13)</f>
        <v>1349385.2324999999</v>
      </c>
      <c r="G58" s="14">
        <f t="shared" si="0"/>
        <v>315422.30750000011</v>
      </c>
      <c r="H58" s="15">
        <f t="shared" si="1"/>
        <v>0.18946472785677082</v>
      </c>
      <c r="I58" s="16">
        <v>72097.500800000009</v>
      </c>
      <c r="J58" s="16">
        <v>133958.22589999999</v>
      </c>
      <c r="K58" s="17">
        <f t="shared" si="2"/>
        <v>109366.58080000011</v>
      </c>
      <c r="L58" s="15">
        <f t="shared" si="3"/>
        <v>6.5693227698860684E-2</v>
      </c>
    </row>
    <row r="59" spans="1:12" x14ac:dyDescent="0.3">
      <c r="A59" s="18" t="str">
        <v>Mar-26</v>
      </c>
      <c r="B59" s="18" t="str">
        <v>ST014</v>
      </c>
      <c r="C59" s="19">
        <v>1423802</v>
      </c>
      <c r="D59" s="19">
        <v>1141215</v>
      </c>
      <c r="E59" s="13">
        <f>C59*(1+Assumptions!$B$12)</f>
        <v>1466516.06</v>
      </c>
      <c r="F59" s="13">
        <f>D59*(1+Assumptions!$B$12)*(1+Assumptions!$B$13)</f>
        <v>1210714.9935000001</v>
      </c>
      <c r="G59" s="14">
        <f t="shared" si="0"/>
        <v>255801.06649999996</v>
      </c>
      <c r="H59" s="15">
        <f t="shared" si="1"/>
        <v>0.17442772941743301</v>
      </c>
      <c r="I59" s="16">
        <v>73863.472800000003</v>
      </c>
      <c r="J59" s="16">
        <v>136842.97780000002</v>
      </c>
      <c r="K59" s="17">
        <f t="shared" si="2"/>
        <v>45094.615899999946</v>
      </c>
      <c r="L59" s="15">
        <f t="shared" si="3"/>
        <v>3.0749486575687376E-2</v>
      </c>
    </row>
    <row r="60" spans="1:12" x14ac:dyDescent="0.3">
      <c r="A60" s="18" t="str">
        <v>Mar-26</v>
      </c>
      <c r="B60" s="18" t="str">
        <v>ST015</v>
      </c>
      <c r="C60" s="19">
        <v>1676185</v>
      </c>
      <c r="D60" s="19">
        <v>1360512</v>
      </c>
      <c r="E60" s="13">
        <f>C60*(1+Assumptions!$B$12)</f>
        <v>1726470.55</v>
      </c>
      <c r="F60" s="13">
        <f>D60*(1+Assumptions!$B$12)*(1+Assumptions!$B$13)</f>
        <v>1443367.1808000002</v>
      </c>
      <c r="G60" s="14">
        <f t="shared" si="0"/>
        <v>283103.36919999984</v>
      </c>
      <c r="H60" s="15">
        <f t="shared" si="1"/>
        <v>0.16397810504210444</v>
      </c>
      <c r="I60" s="16">
        <v>71067.255999999994</v>
      </c>
      <c r="J60" s="16">
        <v>121951.6292</v>
      </c>
      <c r="K60" s="17">
        <f t="shared" si="2"/>
        <v>90084.483999999851</v>
      </c>
      <c r="L60" s="15">
        <f t="shared" si="3"/>
        <v>5.2178407561020865E-2</v>
      </c>
    </row>
    <row r="61" spans="1:12" x14ac:dyDescent="0.3">
      <c r="A61" s="18" t="str">
        <v>Mar-26</v>
      </c>
      <c r="B61" s="18" t="str">
        <v>ST016</v>
      </c>
      <c r="C61" s="19">
        <v>1658033</v>
      </c>
      <c r="D61" s="19">
        <v>1284634</v>
      </c>
      <c r="E61" s="13">
        <f>C61*(1+Assumptions!$B$12)</f>
        <v>1707773.99</v>
      </c>
      <c r="F61" s="13">
        <f>D61*(1+Assumptions!$B$12)*(1+Assumptions!$B$13)</f>
        <v>1362868.2106000001</v>
      </c>
      <c r="G61" s="14">
        <f t="shared" si="0"/>
        <v>344905.77939999988</v>
      </c>
      <c r="H61" s="15">
        <f t="shared" si="1"/>
        <v>0.20196219254984665</v>
      </c>
      <c r="I61" s="16">
        <v>75121.394400000005</v>
      </c>
      <c r="J61" s="16">
        <v>115782.32060000001</v>
      </c>
      <c r="K61" s="17">
        <f t="shared" si="2"/>
        <v>154002.06439999989</v>
      </c>
      <c r="L61" s="15">
        <f t="shared" si="3"/>
        <v>9.0177075714802213E-2</v>
      </c>
    </row>
    <row r="62" spans="1:12" x14ac:dyDescent="0.3">
      <c r="A62" s="18" t="str">
        <v>Mar-26</v>
      </c>
      <c r="B62" s="18" t="str">
        <v>ST017</v>
      </c>
      <c r="C62" s="19">
        <v>1407333</v>
      </c>
      <c r="D62" s="19">
        <v>1119613</v>
      </c>
      <c r="E62" s="13">
        <f>C62*(1+Assumptions!$B$12)</f>
        <v>1449552.99</v>
      </c>
      <c r="F62" s="13">
        <f>D62*(1+Assumptions!$B$12)*(1+Assumptions!$B$13)</f>
        <v>1187797.4317000001</v>
      </c>
      <c r="G62" s="14">
        <f t="shared" si="0"/>
        <v>261755.55829999992</v>
      </c>
      <c r="H62" s="15">
        <f t="shared" si="1"/>
        <v>0.18057674338624896</v>
      </c>
      <c r="I62" s="16">
        <v>71614.088000000003</v>
      </c>
      <c r="J62" s="16">
        <v>123861.83630000001</v>
      </c>
      <c r="K62" s="17">
        <f t="shared" si="2"/>
        <v>66279.633999999918</v>
      </c>
      <c r="L62" s="15">
        <f t="shared" si="3"/>
        <v>4.5724188392726448E-2</v>
      </c>
    </row>
    <row r="63" spans="1:12" x14ac:dyDescent="0.3">
      <c r="A63" s="18" t="str">
        <v>Mar-26</v>
      </c>
      <c r="B63" s="18" t="str">
        <v>ST018</v>
      </c>
      <c r="C63" s="19">
        <v>1757324</v>
      </c>
      <c r="D63" s="19">
        <v>1380801</v>
      </c>
      <c r="E63" s="13">
        <f>C63*(1+Assumptions!$B$12)</f>
        <v>1810043.72</v>
      </c>
      <c r="F63" s="13">
        <f>D63*(1+Assumptions!$B$12)*(1+Assumptions!$B$13)</f>
        <v>1464891.7809000001</v>
      </c>
      <c r="G63" s="14">
        <f t="shared" si="0"/>
        <v>345151.93909999984</v>
      </c>
      <c r="H63" s="15">
        <f t="shared" si="1"/>
        <v>0.19068707307246691</v>
      </c>
      <c r="I63" s="16">
        <v>70787.579199999993</v>
      </c>
      <c r="J63" s="16">
        <v>125851.95080000001</v>
      </c>
      <c r="K63" s="17">
        <f t="shared" si="2"/>
        <v>148512.40909999987</v>
      </c>
      <c r="L63" s="15">
        <f t="shared" si="3"/>
        <v>8.2049072880957752E-2</v>
      </c>
    </row>
    <row r="64" spans="1:12" x14ac:dyDescent="0.3">
      <c r="A64" s="18" t="str">
        <v>Mar-26</v>
      </c>
      <c r="B64" s="18" t="str">
        <v>ST019</v>
      </c>
      <c r="C64" s="19">
        <v>1774485</v>
      </c>
      <c r="D64" s="19">
        <v>1429488</v>
      </c>
      <c r="E64" s="13">
        <f>C64*(1+Assumptions!$B$12)</f>
        <v>1827719.55</v>
      </c>
      <c r="F64" s="13">
        <f>D64*(1+Assumptions!$B$12)*(1+Assumptions!$B$13)</f>
        <v>1516543.8192000003</v>
      </c>
      <c r="G64" s="14">
        <f t="shared" si="0"/>
        <v>311175.73079999979</v>
      </c>
      <c r="H64" s="15">
        <f t="shared" si="1"/>
        <v>0.17025354398600145</v>
      </c>
      <c r="I64" s="16">
        <v>16859.793600000001</v>
      </c>
      <c r="J64" s="16">
        <v>28420.378000000001</v>
      </c>
      <c r="K64" s="17">
        <f t="shared" si="2"/>
        <v>265895.55919999979</v>
      </c>
      <c r="L64" s="15">
        <f t="shared" si="3"/>
        <v>0.14547940858869721</v>
      </c>
    </row>
    <row r="65" spans="1:12" x14ac:dyDescent="0.3">
      <c r="A65" s="18" t="str">
        <v>Mar-26</v>
      </c>
      <c r="B65" s="18" t="str">
        <v>ST020</v>
      </c>
      <c r="C65" s="19">
        <v>1633090</v>
      </c>
      <c r="D65" s="19">
        <v>1297476</v>
      </c>
      <c r="E65" s="13">
        <f>C65*(1+Assumptions!$B$12)</f>
        <v>1682082.7</v>
      </c>
      <c r="F65" s="13">
        <f>D65*(1+Assumptions!$B$12)*(1+Assumptions!$B$13)</f>
        <v>1376492.2884</v>
      </c>
      <c r="G65" s="14">
        <f t="shared" si="0"/>
        <v>305590.41159999999</v>
      </c>
      <c r="H65" s="15">
        <f t="shared" si="1"/>
        <v>0.18167383304043255</v>
      </c>
      <c r="I65" s="16">
        <v>16870.8488</v>
      </c>
      <c r="J65" s="16">
        <v>31164.854200000002</v>
      </c>
      <c r="K65" s="17">
        <f t="shared" si="2"/>
        <v>257554.70860000001</v>
      </c>
      <c r="L65" s="15">
        <f t="shared" si="3"/>
        <v>0.15311655520861134</v>
      </c>
    </row>
    <row r="66" spans="1:12" x14ac:dyDescent="0.3">
      <c r="A66" s="18" t="str">
        <v>Mar-26</v>
      </c>
      <c r="B66" s="18" t="str">
        <v>ST021</v>
      </c>
      <c r="C66" s="19">
        <v>1486866</v>
      </c>
      <c r="D66" s="19">
        <v>1163557</v>
      </c>
      <c r="E66" s="13">
        <f>C66*(1+Assumptions!$B$12)</f>
        <v>1531471.98</v>
      </c>
      <c r="F66" s="13">
        <f>D66*(1+Assumptions!$B$12)*(1+Assumptions!$B$13)</f>
        <v>1234417.6213</v>
      </c>
      <c r="G66" s="14">
        <f t="shared" si="0"/>
        <v>297054.35869999998</v>
      </c>
      <c r="H66" s="15">
        <f t="shared" si="1"/>
        <v>0.19396656457273218</v>
      </c>
      <c r="I66" s="16">
        <v>17196.3272</v>
      </c>
      <c r="J66" s="16">
        <v>29878.312099999999</v>
      </c>
      <c r="K66" s="17">
        <f t="shared" si="2"/>
        <v>249979.71939999997</v>
      </c>
      <c r="L66" s="15">
        <f t="shared" si="3"/>
        <v>0.16322839899427999</v>
      </c>
    </row>
    <row r="67" spans="1:12" x14ac:dyDescent="0.3">
      <c r="A67" s="18" t="str">
        <v>Mar-26</v>
      </c>
      <c r="B67" s="18" t="str">
        <v>ST022</v>
      </c>
      <c r="C67" s="19">
        <v>1562362</v>
      </c>
      <c r="D67" s="19">
        <v>1267692</v>
      </c>
      <c r="E67" s="13">
        <f>C67*(1+Assumptions!$B$12)</f>
        <v>1609232.86</v>
      </c>
      <c r="F67" s="13">
        <f>D67*(1+Assumptions!$B$12)*(1+Assumptions!$B$13)</f>
        <v>1344894.4428000001</v>
      </c>
      <c r="G67" s="14">
        <f t="shared" ref="G67:G130" si="4">E67-F67</f>
        <v>264338.41720000003</v>
      </c>
      <c r="H67" s="15">
        <f t="shared" ref="H67:H130" si="5">IFERROR(G67/E67,0)</f>
        <v>0.16426362136303879</v>
      </c>
      <c r="I67" s="16">
        <v>16512.392</v>
      </c>
      <c r="J67" s="16">
        <v>30112.667999999998</v>
      </c>
      <c r="K67" s="17">
        <f t="shared" ref="K67:K130" si="6">E67-F67-I67-J67</f>
        <v>217713.35720000003</v>
      </c>
      <c r="L67" s="15">
        <f t="shared" ref="L67:L130" si="7">IFERROR(K67/E67,0)</f>
        <v>0.13529015135820679</v>
      </c>
    </row>
    <row r="68" spans="1:12" x14ac:dyDescent="0.3">
      <c r="A68" s="18" t="str">
        <v>Mar-26</v>
      </c>
      <c r="B68" s="18" t="str">
        <v>ST023</v>
      </c>
      <c r="C68" s="19">
        <v>1352125</v>
      </c>
      <c r="D68" s="19">
        <v>1069780</v>
      </c>
      <c r="E68" s="13">
        <f>C68*(1+Assumptions!$B$12)</f>
        <v>1392688.75</v>
      </c>
      <c r="F68" s="13">
        <f>D68*(1+Assumptions!$B$12)*(1+Assumptions!$B$13)</f>
        <v>1134929.6020000002</v>
      </c>
      <c r="G68" s="14">
        <f t="shared" si="4"/>
        <v>257759.14799999981</v>
      </c>
      <c r="H68" s="15">
        <f t="shared" si="5"/>
        <v>0.18508022557086054</v>
      </c>
      <c r="I68" s="16">
        <v>11553.484800000002</v>
      </c>
      <c r="J68" s="16">
        <v>29345.977200000001</v>
      </c>
      <c r="K68" s="17">
        <f t="shared" si="6"/>
        <v>216859.68599999981</v>
      </c>
      <c r="L68" s="15">
        <f t="shared" si="7"/>
        <v>0.15571295883592068</v>
      </c>
    </row>
    <row r="69" spans="1:12" x14ac:dyDescent="0.3">
      <c r="A69" s="18" t="str">
        <v>Mar-26</v>
      </c>
      <c r="B69" s="18" t="str">
        <v>ST025</v>
      </c>
      <c r="C69" s="19">
        <v>1798724</v>
      </c>
      <c r="D69" s="19">
        <v>1405915</v>
      </c>
      <c r="E69" s="13">
        <f>C69*(1+Assumptions!$B$12)</f>
        <v>1852685.72</v>
      </c>
      <c r="F69" s="13">
        <f>D69*(1+Assumptions!$B$12)*(1+Assumptions!$B$13)</f>
        <v>1491535.2235000001</v>
      </c>
      <c r="G69" s="14">
        <f t="shared" si="4"/>
        <v>361150.49649999989</v>
      </c>
      <c r="H69" s="15">
        <f t="shared" si="5"/>
        <v>0.19493349174192368</v>
      </c>
      <c r="I69" s="16">
        <v>15931.063200000001</v>
      </c>
      <c r="J69" s="16">
        <v>25616.697400000001</v>
      </c>
      <c r="K69" s="17">
        <f t="shared" si="6"/>
        <v>319602.73589999991</v>
      </c>
      <c r="L69" s="15">
        <f t="shared" si="7"/>
        <v>0.17250779905617231</v>
      </c>
    </row>
    <row r="70" spans="1:12" x14ac:dyDescent="0.3">
      <c r="A70" s="18" t="str">
        <v>Apr-26</v>
      </c>
      <c r="B70" s="18" t="str">
        <v>ST001</v>
      </c>
      <c r="C70" s="19">
        <v>1589712</v>
      </c>
      <c r="D70" s="19">
        <v>1204084</v>
      </c>
      <c r="E70" s="13">
        <f>C70*(1+Assumptions!$B$12)</f>
        <v>1637403.36</v>
      </c>
      <c r="F70" s="13">
        <f>D70*(1+Assumptions!$B$12)*(1+Assumptions!$B$13)</f>
        <v>1277412.7156</v>
      </c>
      <c r="G70" s="14">
        <f t="shared" si="4"/>
        <v>359990.64440000011</v>
      </c>
      <c r="H70" s="15">
        <f t="shared" si="5"/>
        <v>0.21985459001378871</v>
      </c>
      <c r="I70" s="16">
        <v>69435.672800000015</v>
      </c>
      <c r="J70" s="16">
        <v>116167.005</v>
      </c>
      <c r="K70" s="17">
        <f t="shared" si="6"/>
        <v>174387.9666000001</v>
      </c>
      <c r="L70" s="15">
        <f t="shared" si="7"/>
        <v>0.10650275360373029</v>
      </c>
    </row>
    <row r="71" spans="1:12" x14ac:dyDescent="0.3">
      <c r="A71" s="18" t="str">
        <v>Apr-26</v>
      </c>
      <c r="B71" s="18" t="str">
        <v>ST002</v>
      </c>
      <c r="C71" s="19">
        <v>1645911</v>
      </c>
      <c r="D71" s="19">
        <v>1315053</v>
      </c>
      <c r="E71" s="13">
        <f>C71*(1+Assumptions!$B$12)</f>
        <v>1695288.33</v>
      </c>
      <c r="F71" s="13">
        <f>D71*(1+Assumptions!$B$12)*(1+Assumptions!$B$13)</f>
        <v>1395139.7277000002</v>
      </c>
      <c r="G71" s="14">
        <f t="shared" si="4"/>
        <v>300148.60229999991</v>
      </c>
      <c r="H71" s="15">
        <f t="shared" si="5"/>
        <v>0.17704870433455994</v>
      </c>
      <c r="I71" s="16">
        <v>69677.223200000008</v>
      </c>
      <c r="J71" s="16">
        <v>141342.60489999998</v>
      </c>
      <c r="K71" s="17">
        <f t="shared" si="6"/>
        <v>89128.774199999927</v>
      </c>
      <c r="L71" s="15">
        <f t="shared" si="7"/>
        <v>5.2574404378752444E-2</v>
      </c>
    </row>
    <row r="72" spans="1:12" x14ac:dyDescent="0.3">
      <c r="A72" s="18" t="str">
        <v>Apr-26</v>
      </c>
      <c r="B72" s="18" t="str">
        <v>ST003</v>
      </c>
      <c r="C72" s="19">
        <v>1343985</v>
      </c>
      <c r="D72" s="19">
        <v>1032782</v>
      </c>
      <c r="E72" s="13">
        <f>C72*(1+Assumptions!$B$12)</f>
        <v>1384304.55</v>
      </c>
      <c r="F72" s="13">
        <f>D72*(1+Assumptions!$B$12)*(1+Assumptions!$B$13)</f>
        <v>1095678.4238</v>
      </c>
      <c r="G72" s="14">
        <f t="shared" si="4"/>
        <v>288626.12620000006</v>
      </c>
      <c r="H72" s="15">
        <f t="shared" si="5"/>
        <v>0.20849900854548231</v>
      </c>
      <c r="I72" s="16">
        <v>71453.189600000012</v>
      </c>
      <c r="J72" s="16">
        <v>128857.8925</v>
      </c>
      <c r="K72" s="17">
        <f t="shared" si="6"/>
        <v>88315.044100000043</v>
      </c>
      <c r="L72" s="15">
        <f t="shared" si="7"/>
        <v>6.3797409392319079E-2</v>
      </c>
    </row>
    <row r="73" spans="1:12" x14ac:dyDescent="0.3">
      <c r="A73" s="18" t="str">
        <v>Apr-26</v>
      </c>
      <c r="B73" s="18" t="str">
        <v>ST004</v>
      </c>
      <c r="C73" s="19">
        <v>1454764</v>
      </c>
      <c r="D73" s="19">
        <v>1114992</v>
      </c>
      <c r="E73" s="13">
        <f>C73*(1+Assumptions!$B$12)</f>
        <v>1498406.92</v>
      </c>
      <c r="F73" s="13">
        <f>D73*(1+Assumptions!$B$12)*(1+Assumptions!$B$13)</f>
        <v>1182895.0128000001</v>
      </c>
      <c r="G73" s="14">
        <f t="shared" si="4"/>
        <v>315511.90719999978</v>
      </c>
      <c r="H73" s="15">
        <f t="shared" si="5"/>
        <v>0.21056490262338071</v>
      </c>
      <c r="I73" s="16">
        <v>69393.740000000005</v>
      </c>
      <c r="J73" s="16">
        <v>139820.8726</v>
      </c>
      <c r="K73" s="17">
        <f t="shared" si="6"/>
        <v>106297.29459999979</v>
      </c>
      <c r="L73" s="15">
        <f t="shared" si="7"/>
        <v>7.0940205348223956E-2</v>
      </c>
    </row>
    <row r="74" spans="1:12" x14ac:dyDescent="0.3">
      <c r="A74" s="18" t="str">
        <v>Apr-26</v>
      </c>
      <c r="B74" s="18" t="str">
        <v>ST005</v>
      </c>
      <c r="C74" s="19">
        <v>1351596</v>
      </c>
      <c r="D74" s="19">
        <v>1059478</v>
      </c>
      <c r="E74" s="13">
        <f>C74*(1+Assumptions!$B$12)</f>
        <v>1392143.8800000001</v>
      </c>
      <c r="F74" s="13">
        <f>D74*(1+Assumptions!$B$12)*(1+Assumptions!$B$13)</f>
        <v>1124000.2102000001</v>
      </c>
      <c r="G74" s="14">
        <f t="shared" si="4"/>
        <v>268143.66980000003</v>
      </c>
      <c r="H74" s="15">
        <f t="shared" si="5"/>
        <v>0.19261203791665557</v>
      </c>
      <c r="I74" s="16">
        <v>73953.755200000014</v>
      </c>
      <c r="J74" s="16">
        <v>128280.30970000001</v>
      </c>
      <c r="K74" s="17">
        <f t="shared" si="6"/>
        <v>65909.604900000006</v>
      </c>
      <c r="L74" s="15">
        <f t="shared" si="7"/>
        <v>4.7343960525114685E-2</v>
      </c>
    </row>
    <row r="75" spans="1:12" x14ac:dyDescent="0.3">
      <c r="A75" s="18" t="str">
        <v>Apr-26</v>
      </c>
      <c r="B75" s="18" t="str">
        <v>ST006</v>
      </c>
      <c r="C75" s="19">
        <v>1575417</v>
      </c>
      <c r="D75" s="19">
        <v>1249887</v>
      </c>
      <c r="E75" s="13">
        <f>C75*(1+Assumptions!$B$12)</f>
        <v>1622679.51</v>
      </c>
      <c r="F75" s="13">
        <f>D75*(1+Assumptions!$B$12)*(1+Assumptions!$B$13)</f>
        <v>1326005.1183000002</v>
      </c>
      <c r="G75" s="14">
        <f t="shared" si="4"/>
        <v>296674.3916999998</v>
      </c>
      <c r="H75" s="15">
        <f t="shared" si="5"/>
        <v>0.18282993645491943</v>
      </c>
      <c r="I75" s="16">
        <v>69854.033599999995</v>
      </c>
      <c r="J75" s="16">
        <v>129099.4687</v>
      </c>
      <c r="K75" s="17">
        <f t="shared" si="6"/>
        <v>97720.889399999811</v>
      </c>
      <c r="L75" s="15">
        <f t="shared" si="7"/>
        <v>6.022192848173686E-2</v>
      </c>
    </row>
    <row r="76" spans="1:12" x14ac:dyDescent="0.3">
      <c r="A76" s="18" t="str">
        <v>Apr-26</v>
      </c>
      <c r="B76" s="18" t="str">
        <v>ST007</v>
      </c>
      <c r="C76" s="19">
        <v>1512502</v>
      </c>
      <c r="D76" s="19">
        <v>1208734</v>
      </c>
      <c r="E76" s="13">
        <f>C76*(1+Assumptions!$B$12)</f>
        <v>1557877.06</v>
      </c>
      <c r="F76" s="13">
        <f>D76*(1+Assumptions!$B$12)*(1+Assumptions!$B$13)</f>
        <v>1282345.9006000001</v>
      </c>
      <c r="G76" s="14">
        <f t="shared" si="4"/>
        <v>275531.1594</v>
      </c>
      <c r="H76" s="15">
        <f t="shared" si="5"/>
        <v>0.17686322398251375</v>
      </c>
      <c r="I76" s="16">
        <v>68621.644000000015</v>
      </c>
      <c r="J76" s="16">
        <v>136088.35860000001</v>
      </c>
      <c r="K76" s="17">
        <f t="shared" si="6"/>
        <v>70821.156799999968</v>
      </c>
      <c r="L76" s="15">
        <f t="shared" si="7"/>
        <v>4.5460042142221394E-2</v>
      </c>
    </row>
    <row r="77" spans="1:12" x14ac:dyDescent="0.3">
      <c r="A77" s="18" t="str">
        <v>Apr-26</v>
      </c>
      <c r="B77" s="18" t="str">
        <v>ST008</v>
      </c>
      <c r="C77" s="19">
        <v>1407744</v>
      </c>
      <c r="D77" s="19">
        <v>1131241</v>
      </c>
      <c r="E77" s="13">
        <f>C77*(1+Assumptions!$B$12)</f>
        <v>1449976.32</v>
      </c>
      <c r="F77" s="13">
        <f>D77*(1+Assumptions!$B$12)*(1+Assumptions!$B$13)</f>
        <v>1200133.5769</v>
      </c>
      <c r="G77" s="14">
        <f t="shared" si="4"/>
        <v>249842.74310000008</v>
      </c>
      <c r="H77" s="15">
        <f t="shared" si="5"/>
        <v>0.17230815403937083</v>
      </c>
      <c r="I77" s="16">
        <v>68671.199999999997</v>
      </c>
      <c r="J77" s="16">
        <v>125082.6026</v>
      </c>
      <c r="K77" s="17">
        <f t="shared" si="6"/>
        <v>56088.94050000007</v>
      </c>
      <c r="L77" s="15">
        <f t="shared" si="7"/>
        <v>3.8682659658883303E-2</v>
      </c>
    </row>
    <row r="78" spans="1:12" x14ac:dyDescent="0.3">
      <c r="A78" s="18" t="str">
        <v>Apr-26</v>
      </c>
      <c r="B78" s="18" t="str">
        <v>ST009</v>
      </c>
      <c r="C78" s="19">
        <v>1552628</v>
      </c>
      <c r="D78" s="19">
        <v>1197647</v>
      </c>
      <c r="E78" s="13">
        <f>C78*(1+Assumptions!$B$12)</f>
        <v>1599206.84</v>
      </c>
      <c r="F78" s="13">
        <f>D78*(1+Assumptions!$B$12)*(1+Assumptions!$B$13)</f>
        <v>1270583.7023</v>
      </c>
      <c r="G78" s="14">
        <f t="shared" si="4"/>
        <v>328623.13770000008</v>
      </c>
      <c r="H78" s="15">
        <f t="shared" si="5"/>
        <v>0.20549132825119737</v>
      </c>
      <c r="I78" s="16">
        <v>69965.563200000004</v>
      </c>
      <c r="J78" s="16">
        <v>125983.24490000001</v>
      </c>
      <c r="K78" s="17">
        <f t="shared" si="6"/>
        <v>132674.32960000006</v>
      </c>
      <c r="L78" s="15">
        <f t="shared" si="7"/>
        <v>8.2962582626272444E-2</v>
      </c>
    </row>
    <row r="79" spans="1:12" x14ac:dyDescent="0.3">
      <c r="A79" s="18" t="str">
        <v>Apr-26</v>
      </c>
      <c r="B79" s="18" t="str">
        <v>ST010</v>
      </c>
      <c r="C79" s="19">
        <v>1522490</v>
      </c>
      <c r="D79" s="19">
        <v>1190150</v>
      </c>
      <c r="E79" s="13">
        <f>C79*(1+Assumptions!$B$12)</f>
        <v>1568164.7</v>
      </c>
      <c r="F79" s="13">
        <f>D79*(1+Assumptions!$B$12)*(1+Assumptions!$B$13)</f>
        <v>1262630.135</v>
      </c>
      <c r="G79" s="14">
        <f t="shared" si="4"/>
        <v>305534.56499999994</v>
      </c>
      <c r="H79" s="15">
        <f t="shared" si="5"/>
        <v>0.19483576246806217</v>
      </c>
      <c r="I79" s="16">
        <v>68923.826400000005</v>
      </c>
      <c r="J79" s="16">
        <v>136505.87940000001</v>
      </c>
      <c r="K79" s="17">
        <f t="shared" si="6"/>
        <v>100104.85919999992</v>
      </c>
      <c r="L79" s="15">
        <f t="shared" si="7"/>
        <v>6.3835679504837678E-2</v>
      </c>
    </row>
    <row r="80" spans="1:12" x14ac:dyDescent="0.3">
      <c r="A80" s="18" t="str">
        <v>Apr-26</v>
      </c>
      <c r="B80" s="18" t="str">
        <v>ST011</v>
      </c>
      <c r="C80" s="19">
        <v>1599932</v>
      </c>
      <c r="D80" s="19">
        <v>1251628</v>
      </c>
      <c r="E80" s="13">
        <f>C80*(1+Assumptions!$B$12)</f>
        <v>1647929.96</v>
      </c>
      <c r="F80" s="13">
        <f>D80*(1+Assumptions!$B$12)*(1+Assumptions!$B$13)</f>
        <v>1327852.1452000001</v>
      </c>
      <c r="G80" s="14">
        <f t="shared" si="4"/>
        <v>320077.81479999982</v>
      </c>
      <c r="H80" s="15">
        <f t="shared" si="5"/>
        <v>0.19423022978476576</v>
      </c>
      <c r="I80" s="16">
        <v>69541.72159999999</v>
      </c>
      <c r="J80" s="16">
        <v>114489.68090000001</v>
      </c>
      <c r="K80" s="17">
        <f t="shared" si="6"/>
        <v>136046.41229999982</v>
      </c>
      <c r="L80" s="15">
        <f t="shared" si="7"/>
        <v>8.2555943275647359E-2</v>
      </c>
    </row>
    <row r="81" spans="1:12" x14ac:dyDescent="0.3">
      <c r="A81" s="18" t="str">
        <v>Apr-26</v>
      </c>
      <c r="B81" s="18" t="str">
        <v>ST012</v>
      </c>
      <c r="C81" s="19">
        <v>1457551</v>
      </c>
      <c r="D81" s="19">
        <v>1133958</v>
      </c>
      <c r="E81" s="13">
        <f>C81*(1+Assumptions!$B$12)</f>
        <v>1501277.53</v>
      </c>
      <c r="F81" s="13">
        <f>D81*(1+Assumptions!$B$12)*(1+Assumptions!$B$13)</f>
        <v>1203016.0422</v>
      </c>
      <c r="G81" s="14">
        <f t="shared" si="4"/>
        <v>298261.4878</v>
      </c>
      <c r="H81" s="15">
        <f t="shared" si="5"/>
        <v>0.19867178575569569</v>
      </c>
      <c r="I81" s="16">
        <v>69842.520800000013</v>
      </c>
      <c r="J81" s="16">
        <v>124030.0353</v>
      </c>
      <c r="K81" s="17">
        <f t="shared" si="6"/>
        <v>104388.9317</v>
      </c>
      <c r="L81" s="15">
        <f t="shared" si="7"/>
        <v>6.9533400463270778E-2</v>
      </c>
    </row>
    <row r="82" spans="1:12" x14ac:dyDescent="0.3">
      <c r="A82" s="18" t="str">
        <v>Apr-26</v>
      </c>
      <c r="B82" s="18" t="str">
        <v>ST013</v>
      </c>
      <c r="C82" s="19">
        <v>1592711</v>
      </c>
      <c r="D82" s="19">
        <v>1256504</v>
      </c>
      <c r="E82" s="13">
        <f>C82*(1+Assumptions!$B$12)</f>
        <v>1640492.33</v>
      </c>
      <c r="F82" s="13">
        <f>D82*(1+Assumptions!$B$12)*(1+Assumptions!$B$13)</f>
        <v>1333025.0936000003</v>
      </c>
      <c r="G82" s="14">
        <f t="shared" si="4"/>
        <v>307467.23639999982</v>
      </c>
      <c r="H82" s="15">
        <f t="shared" si="5"/>
        <v>0.18742375735459843</v>
      </c>
      <c r="I82" s="16">
        <v>72408.055200000003</v>
      </c>
      <c r="J82" s="16">
        <v>123302.60810000001</v>
      </c>
      <c r="K82" s="17">
        <f t="shared" si="6"/>
        <v>111756.5730999998</v>
      </c>
      <c r="L82" s="15">
        <f t="shared" si="7"/>
        <v>6.8123801042093132E-2</v>
      </c>
    </row>
    <row r="83" spans="1:12" x14ac:dyDescent="0.3">
      <c r="A83" s="18" t="str">
        <v>Apr-26</v>
      </c>
      <c r="B83" s="18" t="str">
        <v>ST014</v>
      </c>
      <c r="C83" s="19">
        <v>1541443</v>
      </c>
      <c r="D83" s="19">
        <v>1210745</v>
      </c>
      <c r="E83" s="13">
        <f>C83*(1+Assumptions!$B$12)</f>
        <v>1587686.29</v>
      </c>
      <c r="F83" s="13">
        <f>D83*(1+Assumptions!$B$12)*(1+Assumptions!$B$13)</f>
        <v>1284479.3705000002</v>
      </c>
      <c r="G83" s="14">
        <f t="shared" si="4"/>
        <v>303206.91949999984</v>
      </c>
      <c r="H83" s="15">
        <f t="shared" si="5"/>
        <v>0.19097407429272431</v>
      </c>
      <c r="I83" s="16">
        <v>70856.707999999999</v>
      </c>
      <c r="J83" s="16">
        <v>140422.74280000001</v>
      </c>
      <c r="K83" s="17">
        <f t="shared" si="6"/>
        <v>91927.468699999852</v>
      </c>
      <c r="L83" s="15">
        <f t="shared" si="7"/>
        <v>5.7900272414646757E-2</v>
      </c>
    </row>
    <row r="84" spans="1:12" x14ac:dyDescent="0.3">
      <c r="A84" s="18" t="str">
        <v>Apr-26</v>
      </c>
      <c r="B84" s="18" t="str">
        <v>ST015</v>
      </c>
      <c r="C84" s="19">
        <v>1641300</v>
      </c>
      <c r="D84" s="19">
        <v>1264993</v>
      </c>
      <c r="E84" s="13">
        <f>C84*(1+Assumptions!$B$12)</f>
        <v>1690539</v>
      </c>
      <c r="F84" s="13">
        <f>D84*(1+Assumptions!$B$12)*(1+Assumptions!$B$13)</f>
        <v>1342031.0737000001</v>
      </c>
      <c r="G84" s="14">
        <f t="shared" si="4"/>
        <v>348507.92629999993</v>
      </c>
      <c r="H84" s="15">
        <f t="shared" si="5"/>
        <v>0.20615195881313589</v>
      </c>
      <c r="I84" s="16">
        <v>68998.030400000003</v>
      </c>
      <c r="J84" s="16">
        <v>114719.0825</v>
      </c>
      <c r="K84" s="17">
        <f t="shared" si="6"/>
        <v>164790.81339999993</v>
      </c>
      <c r="L84" s="15">
        <f t="shared" si="7"/>
        <v>9.747826781872522E-2</v>
      </c>
    </row>
    <row r="85" spans="1:12" x14ac:dyDescent="0.3">
      <c r="A85" s="18" t="str">
        <v>Apr-26</v>
      </c>
      <c r="B85" s="18" t="str">
        <v>ST016</v>
      </c>
      <c r="C85" s="19">
        <v>1615732</v>
      </c>
      <c r="D85" s="19">
        <v>1263292</v>
      </c>
      <c r="E85" s="13">
        <f>C85*(1+Assumptions!$B$12)</f>
        <v>1664203.96</v>
      </c>
      <c r="F85" s="13">
        <f>D85*(1+Assumptions!$B$12)*(1+Assumptions!$B$13)</f>
        <v>1340226.4828000001</v>
      </c>
      <c r="G85" s="14">
        <f t="shared" si="4"/>
        <v>323977.47719999985</v>
      </c>
      <c r="H85" s="15">
        <f t="shared" si="5"/>
        <v>0.19467414150366513</v>
      </c>
      <c r="I85" s="16">
        <v>68043.622399999993</v>
      </c>
      <c r="J85" s="16">
        <v>135866.8468</v>
      </c>
      <c r="K85" s="17">
        <f t="shared" si="6"/>
        <v>120067.00799999986</v>
      </c>
      <c r="L85" s="15">
        <f t="shared" si="7"/>
        <v>7.2146810658953037E-2</v>
      </c>
    </row>
    <row r="86" spans="1:12" x14ac:dyDescent="0.3">
      <c r="A86" s="18" t="str">
        <v>Apr-26</v>
      </c>
      <c r="B86" s="18" t="str">
        <v>ST017</v>
      </c>
      <c r="C86" s="19">
        <v>1543370</v>
      </c>
      <c r="D86" s="19">
        <v>1203332</v>
      </c>
      <c r="E86" s="13">
        <f>C86*(1+Assumptions!$B$12)</f>
        <v>1589671.1</v>
      </c>
      <c r="F86" s="13">
        <f>D86*(1+Assumptions!$B$12)*(1+Assumptions!$B$13)</f>
        <v>1276614.9188000001</v>
      </c>
      <c r="G86" s="14">
        <f t="shared" si="4"/>
        <v>313056.18119999999</v>
      </c>
      <c r="H86" s="15">
        <f t="shared" si="5"/>
        <v>0.196931416316243</v>
      </c>
      <c r="I86" s="16">
        <v>70848.7</v>
      </c>
      <c r="J86" s="16">
        <v>121280.94470000001</v>
      </c>
      <c r="K86" s="17">
        <f t="shared" si="6"/>
        <v>120926.53649999997</v>
      </c>
      <c r="L86" s="15">
        <f t="shared" si="7"/>
        <v>7.6070160991163496E-2</v>
      </c>
    </row>
    <row r="87" spans="1:12" x14ac:dyDescent="0.3">
      <c r="A87" s="18" t="str">
        <v>Apr-26</v>
      </c>
      <c r="B87" s="18" t="str">
        <v>ST018</v>
      </c>
      <c r="C87" s="19">
        <v>1582907</v>
      </c>
      <c r="D87" s="19">
        <v>1224441</v>
      </c>
      <c r="E87" s="13">
        <f>C87*(1+Assumptions!$B$12)</f>
        <v>1630394.21</v>
      </c>
      <c r="F87" s="13">
        <f>D87*(1+Assumptions!$B$12)*(1+Assumptions!$B$13)</f>
        <v>1299009.4569000001</v>
      </c>
      <c r="G87" s="14">
        <f t="shared" si="4"/>
        <v>331384.75309999986</v>
      </c>
      <c r="H87" s="15">
        <f t="shared" si="5"/>
        <v>0.20325437312488975</v>
      </c>
      <c r="I87" s="16">
        <v>71212.138400000011</v>
      </c>
      <c r="J87" s="16">
        <v>121034.34210000001</v>
      </c>
      <c r="K87" s="17">
        <f t="shared" si="6"/>
        <v>139138.27259999985</v>
      </c>
      <c r="L87" s="15">
        <f t="shared" si="7"/>
        <v>8.5340264180648592E-2</v>
      </c>
    </row>
    <row r="88" spans="1:12" x14ac:dyDescent="0.3">
      <c r="A88" s="18" t="str">
        <v>Apr-26</v>
      </c>
      <c r="B88" s="18" t="str">
        <v>ST019</v>
      </c>
      <c r="C88" s="19">
        <v>1399160</v>
      </c>
      <c r="D88" s="19">
        <v>1117819</v>
      </c>
      <c r="E88" s="13">
        <f>C88*(1+Assumptions!$B$12)</f>
        <v>1441134.8</v>
      </c>
      <c r="F88" s="13">
        <f>D88*(1+Assumptions!$B$12)*(1+Assumptions!$B$13)</f>
        <v>1185894.1771000002</v>
      </c>
      <c r="G88" s="14">
        <f t="shared" si="4"/>
        <v>255240.62289999984</v>
      </c>
      <c r="H88" s="15">
        <f t="shared" si="5"/>
        <v>0.17711085937276641</v>
      </c>
      <c r="I88" s="16">
        <v>16371.2952</v>
      </c>
      <c r="J88" s="16">
        <v>30821.029900000001</v>
      </c>
      <c r="K88" s="17">
        <f t="shared" si="6"/>
        <v>208048.29779999985</v>
      </c>
      <c r="L88" s="15">
        <f t="shared" si="7"/>
        <v>0.14436421755966192</v>
      </c>
    </row>
    <row r="89" spans="1:12" x14ac:dyDescent="0.3">
      <c r="A89" s="18" t="str">
        <v>Apr-26</v>
      </c>
      <c r="B89" s="18" t="str">
        <v>ST020</v>
      </c>
      <c r="C89" s="19">
        <v>1555715</v>
      </c>
      <c r="D89" s="19">
        <v>1211553</v>
      </c>
      <c r="E89" s="13">
        <f>C89*(1+Assumptions!$B$12)</f>
        <v>1602386.45</v>
      </c>
      <c r="F89" s="13">
        <f>D89*(1+Assumptions!$B$12)*(1+Assumptions!$B$13)</f>
        <v>1285336.5777</v>
      </c>
      <c r="G89" s="14">
        <f t="shared" si="4"/>
        <v>317049.87229999993</v>
      </c>
      <c r="H89" s="15">
        <f t="shared" si="5"/>
        <v>0.19786105424194017</v>
      </c>
      <c r="I89" s="16">
        <v>16347.156800000001</v>
      </c>
      <c r="J89" s="16">
        <v>28000.539700000001</v>
      </c>
      <c r="K89" s="17">
        <f t="shared" si="6"/>
        <v>272702.17579999991</v>
      </c>
      <c r="L89" s="15">
        <f t="shared" si="7"/>
        <v>0.17018502359402746</v>
      </c>
    </row>
    <row r="90" spans="1:12" x14ac:dyDescent="0.3">
      <c r="A90" s="18" t="str">
        <v>Apr-26</v>
      </c>
      <c r="B90" s="18" t="str">
        <v>ST021</v>
      </c>
      <c r="C90" s="19">
        <v>1485900</v>
      </c>
      <c r="D90" s="19">
        <v>1149220</v>
      </c>
      <c r="E90" s="13">
        <f>C90*(1+Assumptions!$B$12)</f>
        <v>1530477</v>
      </c>
      <c r="F90" s="13">
        <f>D90*(1+Assumptions!$B$12)*(1+Assumptions!$B$13)</f>
        <v>1219207.4980000001</v>
      </c>
      <c r="G90" s="14">
        <f t="shared" si="4"/>
        <v>311269.50199999986</v>
      </c>
      <c r="H90" s="15">
        <f t="shared" si="5"/>
        <v>0.20338071202638122</v>
      </c>
      <c r="I90" s="16">
        <v>16889.454400000002</v>
      </c>
      <c r="J90" s="16">
        <v>28182.9836</v>
      </c>
      <c r="K90" s="17">
        <f t="shared" si="6"/>
        <v>266197.0639999999</v>
      </c>
      <c r="L90" s="15">
        <f t="shared" si="7"/>
        <v>0.17393078367071174</v>
      </c>
    </row>
    <row r="91" spans="1:12" x14ac:dyDescent="0.3">
      <c r="A91" s="18" t="str">
        <v>Apr-26</v>
      </c>
      <c r="B91" s="18" t="str">
        <v>ST022</v>
      </c>
      <c r="C91" s="19">
        <v>1574403</v>
      </c>
      <c r="D91" s="19">
        <v>1208463</v>
      </c>
      <c r="E91" s="13">
        <f>C91*(1+Assumptions!$B$12)</f>
        <v>1621635.09</v>
      </c>
      <c r="F91" s="13">
        <f>D91*(1+Assumptions!$B$12)*(1+Assumptions!$B$13)</f>
        <v>1282058.3967000002</v>
      </c>
      <c r="G91" s="14">
        <f t="shared" si="4"/>
        <v>339576.69329999993</v>
      </c>
      <c r="H91" s="15">
        <f t="shared" si="5"/>
        <v>0.2094038883310054</v>
      </c>
      <c r="I91" s="16">
        <v>16650.618399999999</v>
      </c>
      <c r="J91" s="16">
        <v>29125.31</v>
      </c>
      <c r="K91" s="17">
        <f t="shared" si="6"/>
        <v>293800.76489999995</v>
      </c>
      <c r="L91" s="15">
        <f t="shared" si="7"/>
        <v>0.1811756336007751</v>
      </c>
    </row>
    <row r="92" spans="1:12" x14ac:dyDescent="0.3">
      <c r="A92" s="18" t="str">
        <v>Apr-26</v>
      </c>
      <c r="B92" s="18" t="str">
        <v>ST023</v>
      </c>
      <c r="C92" s="19">
        <v>2106742</v>
      </c>
      <c r="D92" s="19">
        <v>1630688</v>
      </c>
      <c r="E92" s="13">
        <f>C92*(1+Assumptions!$B$12)</f>
        <v>2169944.2600000002</v>
      </c>
      <c r="F92" s="13">
        <f>D92*(1+Assumptions!$B$12)*(1+Assumptions!$B$13)</f>
        <v>1729996.8992000001</v>
      </c>
      <c r="G92" s="14">
        <f t="shared" si="4"/>
        <v>439947.36080000014</v>
      </c>
      <c r="H92" s="15">
        <f t="shared" si="5"/>
        <v>0.20274592712349215</v>
      </c>
      <c r="I92" s="16">
        <v>16035.4792</v>
      </c>
      <c r="J92" s="16">
        <v>30095.425800000001</v>
      </c>
      <c r="K92" s="17">
        <f t="shared" si="6"/>
        <v>393816.45580000011</v>
      </c>
      <c r="L92" s="15">
        <f t="shared" si="7"/>
        <v>0.18148689948376834</v>
      </c>
    </row>
    <row r="93" spans="1:12" x14ac:dyDescent="0.3">
      <c r="A93" s="18" t="str">
        <v>Apr-26</v>
      </c>
      <c r="B93" s="18" t="str">
        <v>ST025</v>
      </c>
      <c r="C93" s="19">
        <v>1694643</v>
      </c>
      <c r="D93" s="19">
        <v>1329886</v>
      </c>
      <c r="E93" s="13">
        <f>C93*(1+Assumptions!$B$12)</f>
        <v>1745482.29</v>
      </c>
      <c r="F93" s="13">
        <f>D93*(1+Assumptions!$B$12)*(1+Assumptions!$B$13)</f>
        <v>1410876.0574</v>
      </c>
      <c r="G93" s="14">
        <f t="shared" si="4"/>
        <v>334606.23259999999</v>
      </c>
      <c r="H93" s="15">
        <f t="shared" si="5"/>
        <v>0.19169844032046868</v>
      </c>
      <c r="I93" s="16">
        <v>16734.1512</v>
      </c>
      <c r="J93" s="16">
        <v>28984.2</v>
      </c>
      <c r="K93" s="17">
        <f t="shared" si="6"/>
        <v>288887.88139999995</v>
      </c>
      <c r="L93" s="15">
        <f t="shared" si="7"/>
        <v>0.16550605128167753</v>
      </c>
    </row>
    <row r="94" spans="1:12" x14ac:dyDescent="0.3">
      <c r="A94" s="18" t="str">
        <v>May-26</v>
      </c>
      <c r="B94" s="18" t="str">
        <v>ST001</v>
      </c>
      <c r="C94" s="19">
        <v>1418332</v>
      </c>
      <c r="D94" s="19">
        <v>1110959</v>
      </c>
      <c r="E94" s="13">
        <f>C94*(1+Assumptions!$B$12)</f>
        <v>1460881.96</v>
      </c>
      <c r="F94" s="13">
        <f>D94*(1+Assumptions!$B$12)*(1+Assumptions!$B$13)</f>
        <v>1178616.4031</v>
      </c>
      <c r="G94" s="14">
        <f t="shared" si="4"/>
        <v>282265.55689999997</v>
      </c>
      <c r="H94" s="15">
        <f t="shared" si="5"/>
        <v>0.19321585496202578</v>
      </c>
      <c r="I94" s="16">
        <v>72686.69200000001</v>
      </c>
      <c r="J94" s="16">
        <v>137905.34039999999</v>
      </c>
      <c r="K94" s="17">
        <f t="shared" si="6"/>
        <v>71673.52449999997</v>
      </c>
      <c r="L94" s="15">
        <f t="shared" si="7"/>
        <v>4.9061817766577094E-2</v>
      </c>
    </row>
    <row r="95" spans="1:12" x14ac:dyDescent="0.3">
      <c r="A95" s="18" t="str">
        <v>May-26</v>
      </c>
      <c r="B95" s="18" t="str">
        <v>ST002</v>
      </c>
      <c r="C95" s="19">
        <v>1655253</v>
      </c>
      <c r="D95" s="19">
        <v>1289987</v>
      </c>
      <c r="E95" s="13">
        <f>C95*(1+Assumptions!$B$12)</f>
        <v>1704910.59</v>
      </c>
      <c r="F95" s="13">
        <f>D95*(1+Assumptions!$B$12)*(1+Assumptions!$B$13)</f>
        <v>1368547.2083000001</v>
      </c>
      <c r="G95" s="14">
        <f t="shared" si="4"/>
        <v>336363.38170000003</v>
      </c>
      <c r="H95" s="15">
        <f t="shared" si="5"/>
        <v>0.19729092168991688</v>
      </c>
      <c r="I95" s="16">
        <v>72719.836800000005</v>
      </c>
      <c r="J95" s="16">
        <v>136113.83050000001</v>
      </c>
      <c r="K95" s="17">
        <f t="shared" si="6"/>
        <v>127529.71440000003</v>
      </c>
      <c r="L95" s="15">
        <f t="shared" si="7"/>
        <v>7.4801409028728019E-2</v>
      </c>
    </row>
    <row r="96" spans="1:12" x14ac:dyDescent="0.3">
      <c r="A96" s="18" t="str">
        <v>May-26</v>
      </c>
      <c r="B96" s="18" t="str">
        <v>ST003</v>
      </c>
      <c r="C96" s="19">
        <v>1665196</v>
      </c>
      <c r="D96" s="19">
        <v>1309589</v>
      </c>
      <c r="E96" s="13">
        <f>C96*(1+Assumptions!$B$12)</f>
        <v>1715151.8800000001</v>
      </c>
      <c r="F96" s="13">
        <f>D96*(1+Assumptions!$B$12)*(1+Assumptions!$B$13)</f>
        <v>1389342.9701</v>
      </c>
      <c r="G96" s="14">
        <f t="shared" si="4"/>
        <v>325808.90990000009</v>
      </c>
      <c r="H96" s="15">
        <f t="shared" si="5"/>
        <v>0.18995921801397556</v>
      </c>
      <c r="I96" s="16">
        <v>71896.146400000012</v>
      </c>
      <c r="J96" s="16">
        <v>118821.07810000001</v>
      </c>
      <c r="K96" s="17">
        <f t="shared" si="6"/>
        <v>135091.68540000005</v>
      </c>
      <c r="L96" s="15">
        <f t="shared" si="7"/>
        <v>7.8763686747088571E-2</v>
      </c>
    </row>
    <row r="97" spans="1:12" x14ac:dyDescent="0.3">
      <c r="A97" s="18" t="str">
        <v>May-26</v>
      </c>
      <c r="B97" s="18" t="str">
        <v>ST004</v>
      </c>
      <c r="C97" s="19">
        <v>1519311</v>
      </c>
      <c r="D97" s="19">
        <v>1175890</v>
      </c>
      <c r="E97" s="13">
        <f>C97*(1+Assumptions!$B$12)</f>
        <v>1564890.33</v>
      </c>
      <c r="F97" s="13">
        <f>D97*(1+Assumptions!$B$12)*(1+Assumptions!$B$13)</f>
        <v>1247501.7009999999</v>
      </c>
      <c r="G97" s="14">
        <f t="shared" si="4"/>
        <v>317388.62900000019</v>
      </c>
      <c r="H97" s="15">
        <f t="shared" si="5"/>
        <v>0.20281844862572584</v>
      </c>
      <c r="I97" s="16">
        <v>73212.058400000009</v>
      </c>
      <c r="J97" s="16">
        <v>130633.7052</v>
      </c>
      <c r="K97" s="17">
        <f t="shared" si="6"/>
        <v>113542.86540000018</v>
      </c>
      <c r="L97" s="15">
        <f t="shared" si="7"/>
        <v>7.2556436207258171E-2</v>
      </c>
    </row>
    <row r="98" spans="1:12" x14ac:dyDescent="0.3">
      <c r="A98" s="18" t="str">
        <v>May-26</v>
      </c>
      <c r="B98" s="18" t="str">
        <v>ST005</v>
      </c>
      <c r="C98" s="19">
        <v>1647599</v>
      </c>
      <c r="D98" s="19">
        <v>1310669</v>
      </c>
      <c r="E98" s="13">
        <f>C98*(1+Assumptions!$B$12)</f>
        <v>1697026.97</v>
      </c>
      <c r="F98" s="13">
        <f>D98*(1+Assumptions!$B$12)*(1+Assumptions!$B$13)</f>
        <v>1390488.7421000001</v>
      </c>
      <c r="G98" s="14">
        <f t="shared" si="4"/>
        <v>306538.22789999982</v>
      </c>
      <c r="H98" s="15">
        <f t="shared" si="5"/>
        <v>0.18063250220472327</v>
      </c>
      <c r="I98" s="16">
        <v>73706.609600000011</v>
      </c>
      <c r="J98" s="16">
        <v>137715.7071</v>
      </c>
      <c r="K98" s="17">
        <f t="shared" si="6"/>
        <v>95115.911199999799</v>
      </c>
      <c r="L98" s="15">
        <f t="shared" si="7"/>
        <v>5.6048556022654017E-2</v>
      </c>
    </row>
    <row r="99" spans="1:12" x14ac:dyDescent="0.3">
      <c r="A99" s="18" t="str">
        <v>May-26</v>
      </c>
      <c r="B99" s="18" t="str">
        <v>ST006</v>
      </c>
      <c r="C99" s="19">
        <v>1490546</v>
      </c>
      <c r="D99" s="19">
        <v>1163545</v>
      </c>
      <c r="E99" s="13">
        <f>C99*(1+Assumptions!$B$12)</f>
        <v>1535262.3800000001</v>
      </c>
      <c r="F99" s="13">
        <f>D99*(1+Assumptions!$B$12)*(1+Assumptions!$B$13)</f>
        <v>1234404.8905000002</v>
      </c>
      <c r="G99" s="14">
        <f t="shared" si="4"/>
        <v>300857.48949999991</v>
      </c>
      <c r="H99" s="15">
        <f t="shared" si="5"/>
        <v>0.1959648679074647</v>
      </c>
      <c r="I99" s="16">
        <v>74347.114400000006</v>
      </c>
      <c r="J99" s="16">
        <v>124059.33880000001</v>
      </c>
      <c r="K99" s="17">
        <f t="shared" si="6"/>
        <v>102451.03629999988</v>
      </c>
      <c r="L99" s="15">
        <f t="shared" si="7"/>
        <v>6.6731939526844836E-2</v>
      </c>
    </row>
    <row r="100" spans="1:12" x14ac:dyDescent="0.3">
      <c r="A100" s="18" t="str">
        <v>May-26</v>
      </c>
      <c r="B100" s="18" t="str">
        <v>ST007</v>
      </c>
      <c r="C100" s="19">
        <v>1623299</v>
      </c>
      <c r="D100" s="19">
        <v>1274768</v>
      </c>
      <c r="E100" s="13">
        <f>C100*(1+Assumptions!$B$12)</f>
        <v>1671997.97</v>
      </c>
      <c r="F100" s="13">
        <f>D100*(1+Assumptions!$B$12)*(1+Assumptions!$B$13)</f>
        <v>1352401.3712000002</v>
      </c>
      <c r="G100" s="14">
        <f t="shared" si="4"/>
        <v>319596.5987999998</v>
      </c>
      <c r="H100" s="15">
        <f t="shared" si="5"/>
        <v>0.19114652322215428</v>
      </c>
      <c r="I100" s="16">
        <v>69109.934399999998</v>
      </c>
      <c r="J100" s="16">
        <v>136406.7213</v>
      </c>
      <c r="K100" s="17">
        <f t="shared" si="6"/>
        <v>114079.9430999998</v>
      </c>
      <c r="L100" s="15">
        <f t="shared" si="7"/>
        <v>6.8229713879377374E-2</v>
      </c>
    </row>
    <row r="101" spans="1:12" x14ac:dyDescent="0.3">
      <c r="A101" s="18" t="str">
        <v>May-26</v>
      </c>
      <c r="B101" s="18" t="str">
        <v>ST008</v>
      </c>
      <c r="C101" s="19">
        <v>1620851</v>
      </c>
      <c r="D101" s="19">
        <v>1289441</v>
      </c>
      <c r="E101" s="13">
        <f>C101*(1+Assumptions!$B$12)</f>
        <v>1669476.53</v>
      </c>
      <c r="F101" s="13">
        <f>D101*(1+Assumptions!$B$12)*(1+Assumptions!$B$13)</f>
        <v>1367967.9569000001</v>
      </c>
      <c r="G101" s="14">
        <f t="shared" si="4"/>
        <v>301508.57309999992</v>
      </c>
      <c r="H101" s="15">
        <f t="shared" si="5"/>
        <v>0.18060066594646881</v>
      </c>
      <c r="I101" s="16">
        <v>71939.722399999999</v>
      </c>
      <c r="J101" s="16">
        <v>115043.00720000001</v>
      </c>
      <c r="K101" s="17">
        <f t="shared" si="6"/>
        <v>114525.84349999992</v>
      </c>
      <c r="L101" s="15">
        <f t="shared" si="7"/>
        <v>6.8599852374085141E-2</v>
      </c>
    </row>
    <row r="102" spans="1:12" x14ac:dyDescent="0.3">
      <c r="A102" s="18" t="str">
        <v>May-26</v>
      </c>
      <c r="B102" s="18" t="str">
        <v>ST009</v>
      </c>
      <c r="C102" s="19">
        <v>1540484</v>
      </c>
      <c r="D102" s="19">
        <v>1220598</v>
      </c>
      <c r="E102" s="13">
        <f>C102*(1+Assumptions!$B$12)</f>
        <v>1586698.52</v>
      </c>
      <c r="F102" s="13">
        <f>D102*(1+Assumptions!$B$12)*(1+Assumptions!$B$13)</f>
        <v>1294932.4182</v>
      </c>
      <c r="G102" s="14">
        <f t="shared" si="4"/>
        <v>291766.10180000006</v>
      </c>
      <c r="H102" s="15">
        <f t="shared" si="5"/>
        <v>0.18388250705622392</v>
      </c>
      <c r="I102" s="16">
        <v>70564.041599999997</v>
      </c>
      <c r="J102" s="16">
        <v>117339.86599999999</v>
      </c>
      <c r="K102" s="17">
        <f t="shared" si="6"/>
        <v>103862.19420000007</v>
      </c>
      <c r="L102" s="15">
        <f t="shared" si="7"/>
        <v>6.5458051980788426E-2</v>
      </c>
    </row>
    <row r="103" spans="1:12" x14ac:dyDescent="0.3">
      <c r="A103" s="18" t="str">
        <v>May-26</v>
      </c>
      <c r="B103" s="18" t="str">
        <v>ST010</v>
      </c>
      <c r="C103" s="19">
        <v>1523740</v>
      </c>
      <c r="D103" s="19">
        <v>1191540</v>
      </c>
      <c r="E103" s="13">
        <f>C103*(1+Assumptions!$B$12)</f>
        <v>1569452.2</v>
      </c>
      <c r="F103" s="13">
        <f>D103*(1+Assumptions!$B$12)*(1+Assumptions!$B$13)</f>
        <v>1264104.7860000001</v>
      </c>
      <c r="G103" s="14">
        <f t="shared" si="4"/>
        <v>305347.41399999987</v>
      </c>
      <c r="H103" s="15">
        <f t="shared" si="5"/>
        <v>0.19455668289865719</v>
      </c>
      <c r="I103" s="16">
        <v>71302.181599999996</v>
      </c>
      <c r="J103" s="16">
        <v>125203.71</v>
      </c>
      <c r="K103" s="17">
        <f t="shared" si="6"/>
        <v>108841.52239999986</v>
      </c>
      <c r="L103" s="15">
        <f t="shared" si="7"/>
        <v>6.9350007856244275E-2</v>
      </c>
    </row>
    <row r="104" spans="1:12" x14ac:dyDescent="0.3">
      <c r="A104" s="18" t="str">
        <v>May-26</v>
      </c>
      <c r="B104" s="18" t="str">
        <v>ST011</v>
      </c>
      <c r="C104" s="19">
        <v>1660830</v>
      </c>
      <c r="D104" s="19">
        <v>1296383</v>
      </c>
      <c r="E104" s="13">
        <f>C104*(1+Assumptions!$B$12)</f>
        <v>1710654.9000000001</v>
      </c>
      <c r="F104" s="13">
        <f>D104*(1+Assumptions!$B$12)*(1+Assumptions!$B$13)</f>
        <v>1375332.7247000001</v>
      </c>
      <c r="G104" s="14">
        <f t="shared" si="4"/>
        <v>335322.1753</v>
      </c>
      <c r="H104" s="15">
        <f t="shared" si="5"/>
        <v>0.19601976722482131</v>
      </c>
      <c r="I104" s="16">
        <v>73917.927199999991</v>
      </c>
      <c r="J104" s="16">
        <v>139085.1539</v>
      </c>
      <c r="K104" s="17">
        <f t="shared" si="6"/>
        <v>122319.09420000002</v>
      </c>
      <c r="L104" s="15">
        <f t="shared" si="7"/>
        <v>7.1504249162119143E-2</v>
      </c>
    </row>
    <row r="105" spans="1:12" x14ac:dyDescent="0.3">
      <c r="A105" s="18" t="str">
        <v>May-26</v>
      </c>
      <c r="B105" s="18" t="str">
        <v>ST012</v>
      </c>
      <c r="C105" s="19">
        <v>1763434</v>
      </c>
      <c r="D105" s="19">
        <v>1373101</v>
      </c>
      <c r="E105" s="13">
        <f>C105*(1+Assumptions!$B$12)</f>
        <v>1816337.02</v>
      </c>
      <c r="F105" s="13">
        <f>D105*(1+Assumptions!$B$12)*(1+Assumptions!$B$13)</f>
        <v>1456722.8509</v>
      </c>
      <c r="G105" s="14">
        <f t="shared" si="4"/>
        <v>359614.16910000006</v>
      </c>
      <c r="H105" s="15">
        <f t="shared" si="5"/>
        <v>0.1979886800413285</v>
      </c>
      <c r="I105" s="16">
        <v>73312.012800000011</v>
      </c>
      <c r="J105" s="16">
        <v>125489.4835</v>
      </c>
      <c r="K105" s="17">
        <f t="shared" si="6"/>
        <v>160812.67280000003</v>
      </c>
      <c r="L105" s="15">
        <f t="shared" si="7"/>
        <v>8.8536802933191341E-2</v>
      </c>
    </row>
    <row r="106" spans="1:12" x14ac:dyDescent="0.3">
      <c r="A106" s="18" t="str">
        <v>May-26</v>
      </c>
      <c r="B106" s="18" t="str">
        <v>ST013</v>
      </c>
      <c r="C106" s="19">
        <v>1523467</v>
      </c>
      <c r="D106" s="19">
        <v>1188505</v>
      </c>
      <c r="E106" s="13">
        <f>C106*(1+Assumptions!$B$12)</f>
        <v>1569171.01</v>
      </c>
      <c r="F106" s="13">
        <f>D106*(1+Assumptions!$B$12)*(1+Assumptions!$B$13)</f>
        <v>1260884.9545000002</v>
      </c>
      <c r="G106" s="14">
        <f t="shared" si="4"/>
        <v>308286.05549999978</v>
      </c>
      <c r="H106" s="15">
        <f t="shared" si="5"/>
        <v>0.19646428179934308</v>
      </c>
      <c r="I106" s="16">
        <v>72191.86</v>
      </c>
      <c r="J106" s="16">
        <v>142834.12729999999</v>
      </c>
      <c r="K106" s="17">
        <f t="shared" si="6"/>
        <v>93260.068199999805</v>
      </c>
      <c r="L106" s="15">
        <f t="shared" si="7"/>
        <v>5.9432698925529985E-2</v>
      </c>
    </row>
    <row r="107" spans="1:12" x14ac:dyDescent="0.3">
      <c r="A107" s="18" t="str">
        <v>May-26</v>
      </c>
      <c r="B107" s="18" t="str">
        <v>ST014</v>
      </c>
      <c r="C107" s="19">
        <v>1511159</v>
      </c>
      <c r="D107" s="19">
        <v>1216031</v>
      </c>
      <c r="E107" s="13">
        <f>C107*(1+Assumptions!$B$12)</f>
        <v>1556493.77</v>
      </c>
      <c r="F107" s="13">
        <f>D107*(1+Assumptions!$B$12)*(1+Assumptions!$B$13)</f>
        <v>1290087.2878999999</v>
      </c>
      <c r="G107" s="14">
        <f t="shared" si="4"/>
        <v>266406.48210000014</v>
      </c>
      <c r="H107" s="15">
        <f t="shared" si="5"/>
        <v>0.17115807800502802</v>
      </c>
      <c r="I107" s="16">
        <v>74771.444799999997</v>
      </c>
      <c r="J107" s="16">
        <v>115844.1309</v>
      </c>
      <c r="K107" s="17">
        <f t="shared" si="6"/>
        <v>75790.906400000138</v>
      </c>
      <c r="L107" s="15">
        <f t="shared" si="7"/>
        <v>4.8693356736018378E-2</v>
      </c>
    </row>
    <row r="108" spans="1:12" x14ac:dyDescent="0.3">
      <c r="A108" s="18" t="str">
        <v>May-26</v>
      </c>
      <c r="B108" s="18" t="str">
        <v>ST015</v>
      </c>
      <c r="C108" s="19">
        <v>1482024</v>
      </c>
      <c r="D108" s="19">
        <v>1188307</v>
      </c>
      <c r="E108" s="13">
        <f>C108*(1+Assumptions!$B$12)</f>
        <v>1526484.72</v>
      </c>
      <c r="F108" s="13">
        <f>D108*(1+Assumptions!$B$12)*(1+Assumptions!$B$13)</f>
        <v>1260674.8962999999</v>
      </c>
      <c r="G108" s="14">
        <f t="shared" si="4"/>
        <v>265809.82370000007</v>
      </c>
      <c r="H108" s="15">
        <f t="shared" si="5"/>
        <v>0.17413199111485378</v>
      </c>
      <c r="I108" s="16">
        <v>72275.424000000014</v>
      </c>
      <c r="J108" s="16">
        <v>121785.6756</v>
      </c>
      <c r="K108" s="17">
        <f t="shared" si="6"/>
        <v>71748.724100000065</v>
      </c>
      <c r="L108" s="15">
        <f t="shared" si="7"/>
        <v>4.7002582574164301E-2</v>
      </c>
    </row>
    <row r="109" spans="1:12" x14ac:dyDescent="0.3">
      <c r="A109" s="18" t="str">
        <v>May-26</v>
      </c>
      <c r="B109" s="18" t="str">
        <v>ST016</v>
      </c>
      <c r="C109" s="19">
        <v>1501300</v>
      </c>
      <c r="D109" s="19">
        <v>1211278</v>
      </c>
      <c r="E109" s="13">
        <f>C109*(1+Assumptions!$B$12)</f>
        <v>1546339</v>
      </c>
      <c r="F109" s="13">
        <f>D109*(1+Assumptions!$B$12)*(1+Assumptions!$B$13)</f>
        <v>1285044.8302000002</v>
      </c>
      <c r="G109" s="14">
        <f t="shared" si="4"/>
        <v>261294.1697999998</v>
      </c>
      <c r="H109" s="15">
        <f t="shared" si="5"/>
        <v>0.16897599413841324</v>
      </c>
      <c r="I109" s="16">
        <v>71279.936000000002</v>
      </c>
      <c r="J109" s="16">
        <v>137124.16780000002</v>
      </c>
      <c r="K109" s="17">
        <f t="shared" si="6"/>
        <v>52890.065999999788</v>
      </c>
      <c r="L109" s="15">
        <f t="shared" si="7"/>
        <v>3.4203409472308328E-2</v>
      </c>
    </row>
    <row r="110" spans="1:12" x14ac:dyDescent="0.3">
      <c r="A110" s="18" t="str">
        <v>May-26</v>
      </c>
      <c r="B110" s="18" t="str">
        <v>ST017</v>
      </c>
      <c r="C110" s="19">
        <v>1576972</v>
      </c>
      <c r="D110" s="19">
        <v>1269204</v>
      </c>
      <c r="E110" s="13">
        <f>C110*(1+Assumptions!$B$12)</f>
        <v>1624281.1600000001</v>
      </c>
      <c r="F110" s="13">
        <f>D110*(1+Assumptions!$B$12)*(1+Assumptions!$B$13)</f>
        <v>1346498.5236000002</v>
      </c>
      <c r="G110" s="14">
        <f t="shared" si="4"/>
        <v>277782.63639999996</v>
      </c>
      <c r="H110" s="15">
        <f t="shared" si="5"/>
        <v>0.17101881326998827</v>
      </c>
      <c r="I110" s="16">
        <v>72806.17760000001</v>
      </c>
      <c r="J110" s="16">
        <v>129267.4411</v>
      </c>
      <c r="K110" s="17">
        <f t="shared" si="6"/>
        <v>75709.017699999968</v>
      </c>
      <c r="L110" s="15">
        <f t="shared" si="7"/>
        <v>4.6610783628125048E-2</v>
      </c>
    </row>
    <row r="111" spans="1:12" x14ac:dyDescent="0.3">
      <c r="A111" s="18" t="str">
        <v>May-26</v>
      </c>
      <c r="B111" s="18" t="str">
        <v>ST018</v>
      </c>
      <c r="C111" s="19">
        <v>1536135</v>
      </c>
      <c r="D111" s="19">
        <v>1242446</v>
      </c>
      <c r="E111" s="13">
        <f>C111*(1+Assumptions!$B$12)</f>
        <v>1582219.05</v>
      </c>
      <c r="F111" s="13">
        <f>D111*(1+Assumptions!$B$12)*(1+Assumptions!$B$13)</f>
        <v>1318110.9614000001</v>
      </c>
      <c r="G111" s="14">
        <f t="shared" si="4"/>
        <v>264108.0885999999</v>
      </c>
      <c r="H111" s="15">
        <f t="shared" si="5"/>
        <v>0.16692258167413665</v>
      </c>
      <c r="I111" s="16">
        <v>72932.943200000009</v>
      </c>
      <c r="J111" s="16">
        <v>117474.40460000001</v>
      </c>
      <c r="K111" s="17">
        <f t="shared" si="6"/>
        <v>73700.740799999883</v>
      </c>
      <c r="L111" s="15">
        <f t="shared" si="7"/>
        <v>4.6580617772235697E-2</v>
      </c>
    </row>
    <row r="112" spans="1:12" x14ac:dyDescent="0.3">
      <c r="A112" s="18" t="str">
        <v>May-26</v>
      </c>
      <c r="B112" s="18" t="str">
        <v>ST019</v>
      </c>
      <c r="C112" s="19">
        <v>1511011</v>
      </c>
      <c r="D112" s="19">
        <v>1193966</v>
      </c>
      <c r="E112" s="13">
        <f>C112*(1+Assumptions!$B$12)</f>
        <v>1556341.33</v>
      </c>
      <c r="F112" s="13">
        <f>D112*(1+Assumptions!$B$12)*(1+Assumptions!$B$13)</f>
        <v>1266678.5294000001</v>
      </c>
      <c r="G112" s="14">
        <f t="shared" si="4"/>
        <v>289662.80059999996</v>
      </c>
      <c r="H112" s="15">
        <f t="shared" si="5"/>
        <v>0.18611778471500204</v>
      </c>
      <c r="I112" s="16">
        <v>17096.424800000001</v>
      </c>
      <c r="J112" s="16">
        <v>29048.152700000002</v>
      </c>
      <c r="K112" s="17">
        <f t="shared" si="6"/>
        <v>243518.22309999997</v>
      </c>
      <c r="L112" s="15">
        <f t="shared" si="7"/>
        <v>0.15646839058113296</v>
      </c>
    </row>
    <row r="113" spans="1:12" x14ac:dyDescent="0.3">
      <c r="A113" s="18" t="str">
        <v>May-26</v>
      </c>
      <c r="B113" s="18" t="str">
        <v>ST020</v>
      </c>
      <c r="C113" s="19">
        <v>1680157</v>
      </c>
      <c r="D113" s="19">
        <v>1319489</v>
      </c>
      <c r="E113" s="13">
        <f>C113*(1+Assumptions!$B$12)</f>
        <v>1730561.71</v>
      </c>
      <c r="F113" s="13">
        <f>D113*(1+Assumptions!$B$12)*(1+Assumptions!$B$13)</f>
        <v>1399845.8801</v>
      </c>
      <c r="G113" s="14">
        <f t="shared" si="4"/>
        <v>330715.82990000001</v>
      </c>
      <c r="H113" s="15">
        <f t="shared" si="5"/>
        <v>0.19110317071559385</v>
      </c>
      <c r="I113" s="16">
        <v>16744.509600000001</v>
      </c>
      <c r="J113" s="16">
        <v>31621.535600000003</v>
      </c>
      <c r="K113" s="17">
        <f t="shared" si="6"/>
        <v>282349.78470000002</v>
      </c>
      <c r="L113" s="15">
        <f t="shared" si="7"/>
        <v>0.16315499358875796</v>
      </c>
    </row>
    <row r="114" spans="1:12" x14ac:dyDescent="0.3">
      <c r="A114" s="18" t="str">
        <v>May-26</v>
      </c>
      <c r="B114" s="18" t="str">
        <v>ST021</v>
      </c>
      <c r="C114" s="19">
        <v>1642821</v>
      </c>
      <c r="D114" s="19">
        <v>1312951</v>
      </c>
      <c r="E114" s="13">
        <f>C114*(1+Assumptions!$B$12)</f>
        <v>1692105.6300000001</v>
      </c>
      <c r="F114" s="13">
        <f>D114*(1+Assumptions!$B$12)*(1+Assumptions!$B$13)</f>
        <v>1392909.7159</v>
      </c>
      <c r="G114" s="14">
        <f t="shared" si="4"/>
        <v>299195.91410000017</v>
      </c>
      <c r="H114" s="15">
        <f t="shared" si="5"/>
        <v>0.17681869783743948</v>
      </c>
      <c r="I114" s="16">
        <v>16676.9408</v>
      </c>
      <c r="J114" s="16">
        <v>26581.910400000001</v>
      </c>
      <c r="K114" s="17">
        <f t="shared" si="6"/>
        <v>255937.06290000019</v>
      </c>
      <c r="L114" s="15">
        <f t="shared" si="7"/>
        <v>0.15125359691640539</v>
      </c>
    </row>
    <row r="115" spans="1:12" x14ac:dyDescent="0.3">
      <c r="A115" s="18" t="str">
        <v>May-26</v>
      </c>
      <c r="B115" s="18" t="str">
        <v>ST022</v>
      </c>
      <c r="C115" s="19">
        <v>1789962</v>
      </c>
      <c r="D115" s="19">
        <v>1393451</v>
      </c>
      <c r="E115" s="13">
        <f>C115*(1+Assumptions!$B$12)</f>
        <v>1843660.86</v>
      </c>
      <c r="F115" s="13">
        <f>D115*(1+Assumptions!$B$12)*(1+Assumptions!$B$13)</f>
        <v>1478312.1659000001</v>
      </c>
      <c r="G115" s="14">
        <f t="shared" si="4"/>
        <v>365348.69409999996</v>
      </c>
      <c r="H115" s="15">
        <f t="shared" si="5"/>
        <v>0.19816480461596389</v>
      </c>
      <c r="I115" s="16">
        <v>16978.540800000002</v>
      </c>
      <c r="J115" s="16">
        <v>27885.694700000004</v>
      </c>
      <c r="K115" s="17">
        <f t="shared" si="6"/>
        <v>320484.45859999995</v>
      </c>
      <c r="L115" s="15">
        <f t="shared" si="7"/>
        <v>0.17383048344368493</v>
      </c>
    </row>
    <row r="116" spans="1:12" x14ac:dyDescent="0.3">
      <c r="A116" s="18" t="str">
        <v>May-26</v>
      </c>
      <c r="B116" s="18" t="str">
        <v>ST023</v>
      </c>
      <c r="C116" s="19">
        <v>1986691</v>
      </c>
      <c r="D116" s="19">
        <v>1545615</v>
      </c>
      <c r="E116" s="13">
        <f>C116*(1+Assumptions!$B$12)</f>
        <v>2046291.73</v>
      </c>
      <c r="F116" s="13">
        <f>D116*(1+Assumptions!$B$12)*(1+Assumptions!$B$13)</f>
        <v>1639742.9535000001</v>
      </c>
      <c r="G116" s="14">
        <f t="shared" si="4"/>
        <v>406548.77649999992</v>
      </c>
      <c r="H116" s="15">
        <f t="shared" si="5"/>
        <v>0.19867586353388622</v>
      </c>
      <c r="I116" s="16">
        <v>17255.669600000001</v>
      </c>
      <c r="J116" s="16">
        <v>27413.419100000003</v>
      </c>
      <c r="K116" s="17">
        <f t="shared" si="6"/>
        <v>361879.6877999999</v>
      </c>
      <c r="L116" s="15">
        <f t="shared" si="7"/>
        <v>0.17684657690523917</v>
      </c>
    </row>
    <row r="117" spans="1:12" x14ac:dyDescent="0.3">
      <c r="A117" s="18" t="str">
        <v>May-26</v>
      </c>
      <c r="B117" s="18" t="str">
        <v>ST025</v>
      </c>
      <c r="C117" s="19">
        <v>1924741</v>
      </c>
      <c r="D117" s="19">
        <v>1532725</v>
      </c>
      <c r="E117" s="13">
        <f>C117*(1+Assumptions!$B$12)</f>
        <v>1982483.23</v>
      </c>
      <c r="F117" s="13">
        <f>D117*(1+Assumptions!$B$12)*(1+Assumptions!$B$13)</f>
        <v>1626067.9525000001</v>
      </c>
      <c r="G117" s="14">
        <f t="shared" si="4"/>
        <v>356415.27749999985</v>
      </c>
      <c r="H117" s="15">
        <f t="shared" si="5"/>
        <v>0.17978224083136374</v>
      </c>
      <c r="I117" s="16">
        <v>16838.213599999999</v>
      </c>
      <c r="J117" s="16">
        <v>26531.708200000001</v>
      </c>
      <c r="K117" s="17">
        <f t="shared" si="6"/>
        <v>313045.35569999984</v>
      </c>
      <c r="L117" s="15">
        <f t="shared" si="7"/>
        <v>0.15790567655898902</v>
      </c>
    </row>
    <row r="118" spans="1:12" x14ac:dyDescent="0.3">
      <c r="A118" s="18" t="str">
        <v>Jun-26</v>
      </c>
      <c r="B118" s="18" t="str">
        <v>ST001</v>
      </c>
      <c r="C118" s="19">
        <v>1587027</v>
      </c>
      <c r="D118" s="19">
        <v>1262288</v>
      </c>
      <c r="E118" s="13">
        <f>C118*(1+Assumptions!$B$12)</f>
        <v>1634637.81</v>
      </c>
      <c r="F118" s="13">
        <f>D118*(1+Assumptions!$B$12)*(1+Assumptions!$B$13)</f>
        <v>1339161.3392000003</v>
      </c>
      <c r="G118" s="14">
        <f t="shared" si="4"/>
        <v>295476.47079999978</v>
      </c>
      <c r="H118" s="15">
        <f t="shared" si="5"/>
        <v>0.18075959640258155</v>
      </c>
      <c r="I118" s="16">
        <v>72508.196800000005</v>
      </c>
      <c r="J118" s="16">
        <v>118875.18400000001</v>
      </c>
      <c r="K118" s="17">
        <f t="shared" si="6"/>
        <v>104093.08999999976</v>
      </c>
      <c r="L118" s="15">
        <f t="shared" si="7"/>
        <v>6.3679604963988792E-2</v>
      </c>
    </row>
    <row r="119" spans="1:12" x14ac:dyDescent="0.3">
      <c r="A119" s="18" t="str">
        <v>Jun-26</v>
      </c>
      <c r="B119" s="18" t="str">
        <v>ST002</v>
      </c>
      <c r="C119" s="19">
        <v>1554170</v>
      </c>
      <c r="D119" s="19">
        <v>1214371</v>
      </c>
      <c r="E119" s="13">
        <f>C119*(1+Assumptions!$B$12)</f>
        <v>1600795.1</v>
      </c>
      <c r="F119" s="13">
        <f>D119*(1+Assumptions!$B$12)*(1+Assumptions!$B$13)</f>
        <v>1288326.1939000001</v>
      </c>
      <c r="G119" s="14">
        <f t="shared" si="4"/>
        <v>312468.90610000002</v>
      </c>
      <c r="H119" s="15">
        <f t="shared" si="5"/>
        <v>0.19519606606741863</v>
      </c>
      <c r="I119" s="16">
        <v>68661.9856</v>
      </c>
      <c r="J119" s="16">
        <v>116248.1793</v>
      </c>
      <c r="K119" s="17">
        <f t="shared" si="6"/>
        <v>127558.7412</v>
      </c>
      <c r="L119" s="15">
        <f t="shared" si="7"/>
        <v>7.9684614976645043E-2</v>
      </c>
    </row>
    <row r="120" spans="1:12" x14ac:dyDescent="0.3">
      <c r="A120" s="18" t="str">
        <v>Jun-26</v>
      </c>
      <c r="B120" s="18" t="str">
        <v>ST003</v>
      </c>
      <c r="C120" s="19">
        <v>1525339</v>
      </c>
      <c r="D120" s="19">
        <v>1203144</v>
      </c>
      <c r="E120" s="13">
        <f>C120*(1+Assumptions!$B$12)</f>
        <v>1571099.17</v>
      </c>
      <c r="F120" s="13">
        <f>D120*(1+Assumptions!$B$12)*(1+Assumptions!$B$13)</f>
        <v>1276415.4696000002</v>
      </c>
      <c r="G120" s="14">
        <f t="shared" si="4"/>
        <v>294683.70039999974</v>
      </c>
      <c r="H120" s="15">
        <f t="shared" si="5"/>
        <v>0.18756530843307603</v>
      </c>
      <c r="I120" s="16">
        <v>69227.922399999996</v>
      </c>
      <c r="J120" s="16">
        <v>130306.3609</v>
      </c>
      <c r="K120" s="17">
        <f t="shared" si="6"/>
        <v>95149.417099999759</v>
      </c>
      <c r="L120" s="15">
        <f t="shared" si="7"/>
        <v>6.0562324082953825E-2</v>
      </c>
    </row>
    <row r="121" spans="1:12" x14ac:dyDescent="0.3">
      <c r="A121" s="18" t="str">
        <v>Jun-26</v>
      </c>
      <c r="B121" s="18" t="str">
        <v>ST004</v>
      </c>
      <c r="C121" s="19">
        <v>1563570</v>
      </c>
      <c r="D121" s="19">
        <v>1210140</v>
      </c>
      <c r="E121" s="13">
        <f>C121*(1+Assumptions!$B$12)</f>
        <v>1610477.1</v>
      </c>
      <c r="F121" s="13">
        <f>D121*(1+Assumptions!$B$12)*(1+Assumptions!$B$13)</f>
        <v>1283837.5260000001</v>
      </c>
      <c r="G121" s="14">
        <f t="shared" si="4"/>
        <v>326639.57400000002</v>
      </c>
      <c r="H121" s="15">
        <f t="shared" si="5"/>
        <v>0.20282161975479193</v>
      </c>
      <c r="I121" s="16">
        <v>72051.148000000001</v>
      </c>
      <c r="J121" s="16">
        <v>134180.7677</v>
      </c>
      <c r="K121" s="17">
        <f t="shared" si="6"/>
        <v>120407.65830000004</v>
      </c>
      <c r="L121" s="15">
        <f t="shared" si="7"/>
        <v>7.4765209825088497E-2</v>
      </c>
    </row>
    <row r="122" spans="1:12" x14ac:dyDescent="0.3">
      <c r="A122" s="18" t="str">
        <v>Jun-26</v>
      </c>
      <c r="B122" s="18" t="str">
        <v>ST005</v>
      </c>
      <c r="C122" s="19">
        <v>1593915</v>
      </c>
      <c r="D122" s="19">
        <v>1227185</v>
      </c>
      <c r="E122" s="13">
        <f>C122*(1+Assumptions!$B$12)</f>
        <v>1641732.45</v>
      </c>
      <c r="F122" s="13">
        <f>D122*(1+Assumptions!$B$12)*(1+Assumptions!$B$13)</f>
        <v>1301920.5665000002</v>
      </c>
      <c r="G122" s="14">
        <f t="shared" si="4"/>
        <v>339811.88349999976</v>
      </c>
      <c r="H122" s="15">
        <f t="shared" si="5"/>
        <v>0.20698371619565648</v>
      </c>
      <c r="I122" s="16">
        <v>68129.3704</v>
      </c>
      <c r="J122" s="16">
        <v>136256.3413</v>
      </c>
      <c r="K122" s="17">
        <f t="shared" si="6"/>
        <v>135426.17179999975</v>
      </c>
      <c r="L122" s="15">
        <f t="shared" si="7"/>
        <v>8.2489794119620249E-2</v>
      </c>
    </row>
    <row r="123" spans="1:12" x14ac:dyDescent="0.3">
      <c r="A123" s="18" t="str">
        <v>Jun-26</v>
      </c>
      <c r="B123" s="18" t="str">
        <v>ST006</v>
      </c>
      <c r="C123" s="19">
        <v>1623915</v>
      </c>
      <c r="D123" s="19">
        <v>1260330</v>
      </c>
      <c r="E123" s="13">
        <f>C123*(1+Assumptions!$B$12)</f>
        <v>1672632.45</v>
      </c>
      <c r="F123" s="13">
        <f>D123*(1+Assumptions!$B$12)*(1+Assumptions!$B$13)</f>
        <v>1337084.0970000001</v>
      </c>
      <c r="G123" s="14">
        <f t="shared" si="4"/>
        <v>335548.35299999989</v>
      </c>
      <c r="H123" s="15">
        <f t="shared" si="5"/>
        <v>0.20061093099084612</v>
      </c>
      <c r="I123" s="16">
        <v>71361.94</v>
      </c>
      <c r="J123" s="16">
        <v>134133.1096</v>
      </c>
      <c r="K123" s="17">
        <f t="shared" si="6"/>
        <v>130053.30339999989</v>
      </c>
      <c r="L123" s="15">
        <f t="shared" si="7"/>
        <v>7.7753665128283203E-2</v>
      </c>
    </row>
    <row r="124" spans="1:12" x14ac:dyDescent="0.3">
      <c r="A124" s="18" t="str">
        <v>Jun-26</v>
      </c>
      <c r="B124" s="18" t="str">
        <v>ST007</v>
      </c>
      <c r="C124" s="19">
        <v>1561658</v>
      </c>
      <c r="D124" s="19">
        <v>1222834</v>
      </c>
      <c r="E124" s="13">
        <f>C124*(1+Assumptions!$B$12)</f>
        <v>1608507.74</v>
      </c>
      <c r="F124" s="13">
        <f>D124*(1+Assumptions!$B$12)*(1+Assumptions!$B$13)</f>
        <v>1297304.5906</v>
      </c>
      <c r="G124" s="14">
        <f t="shared" si="4"/>
        <v>311203.14939999999</v>
      </c>
      <c r="H124" s="15">
        <f t="shared" si="5"/>
        <v>0.19347320604127152</v>
      </c>
      <c r="I124" s="16">
        <v>68832.607999999993</v>
      </c>
      <c r="J124" s="16">
        <v>139770.96910000002</v>
      </c>
      <c r="K124" s="17">
        <f t="shared" si="6"/>
        <v>102599.57229999997</v>
      </c>
      <c r="L124" s="15">
        <f t="shared" si="7"/>
        <v>6.3785563319701505E-2</v>
      </c>
    </row>
    <row r="125" spans="1:12" x14ac:dyDescent="0.3">
      <c r="A125" s="18" t="str">
        <v>Jun-26</v>
      </c>
      <c r="B125" s="18" t="str">
        <v>ST008</v>
      </c>
      <c r="C125" s="19">
        <v>1539345</v>
      </c>
      <c r="D125" s="19">
        <v>1192166</v>
      </c>
      <c r="E125" s="13">
        <f>C125*(1+Assumptions!$B$12)</f>
        <v>1585525.35</v>
      </c>
      <c r="F125" s="13">
        <f>D125*(1+Assumptions!$B$12)*(1+Assumptions!$B$13)</f>
        <v>1264768.9094</v>
      </c>
      <c r="G125" s="14">
        <f t="shared" si="4"/>
        <v>320756.44060000009</v>
      </c>
      <c r="H125" s="15">
        <f t="shared" si="5"/>
        <v>0.20230294053639702</v>
      </c>
      <c r="I125" s="16">
        <v>69472.624000000011</v>
      </c>
      <c r="J125" s="16">
        <v>115592.677</v>
      </c>
      <c r="K125" s="17">
        <f t="shared" si="6"/>
        <v>135691.13960000008</v>
      </c>
      <c r="L125" s="15">
        <f t="shared" si="7"/>
        <v>8.5581185819577132E-2</v>
      </c>
    </row>
    <row r="126" spans="1:12" x14ac:dyDescent="0.3">
      <c r="A126" s="18" t="str">
        <v>Jun-26</v>
      </c>
      <c r="B126" s="18" t="str">
        <v>ST009</v>
      </c>
      <c r="C126" s="19">
        <v>1519957</v>
      </c>
      <c r="D126" s="19">
        <v>1207355</v>
      </c>
      <c r="E126" s="13">
        <f>C126*(1+Assumptions!$B$12)</f>
        <v>1565555.71</v>
      </c>
      <c r="F126" s="13">
        <f>D126*(1+Assumptions!$B$12)*(1+Assumptions!$B$13)</f>
        <v>1280882.9195000001</v>
      </c>
      <c r="G126" s="14">
        <f t="shared" si="4"/>
        <v>284672.79049999989</v>
      </c>
      <c r="H126" s="15">
        <f t="shared" si="5"/>
        <v>0.18183497954218436</v>
      </c>
      <c r="I126" s="16">
        <v>70632.879199999996</v>
      </c>
      <c r="J126" s="16">
        <v>121240.55840000001</v>
      </c>
      <c r="K126" s="17">
        <f t="shared" si="6"/>
        <v>92799.352899999882</v>
      </c>
      <c r="L126" s="15">
        <f t="shared" si="7"/>
        <v>5.9275663144558351E-2</v>
      </c>
    </row>
    <row r="127" spans="1:12" x14ac:dyDescent="0.3">
      <c r="A127" s="18" t="str">
        <v>Jun-26</v>
      </c>
      <c r="B127" s="18" t="str">
        <v>ST010</v>
      </c>
      <c r="C127" s="19">
        <v>1601915</v>
      </c>
      <c r="D127" s="19">
        <v>1245895</v>
      </c>
      <c r="E127" s="13">
        <f>C127*(1+Assumptions!$B$12)</f>
        <v>1649972.45</v>
      </c>
      <c r="F127" s="13">
        <f>D127*(1+Assumptions!$B$12)*(1+Assumptions!$B$13)</f>
        <v>1321770.0055000002</v>
      </c>
      <c r="G127" s="14">
        <f t="shared" si="4"/>
        <v>328202.44449999975</v>
      </c>
      <c r="H127" s="15">
        <f t="shared" si="5"/>
        <v>0.19891389368349741</v>
      </c>
      <c r="I127" s="16">
        <v>71725.919200000004</v>
      </c>
      <c r="J127" s="16">
        <v>126263.6933</v>
      </c>
      <c r="K127" s="17">
        <f t="shared" si="6"/>
        <v>130212.83199999975</v>
      </c>
      <c r="L127" s="15">
        <f t="shared" si="7"/>
        <v>7.8918185573340779E-2</v>
      </c>
    </row>
    <row r="128" spans="1:12" x14ac:dyDescent="0.3">
      <c r="A128" s="18" t="str">
        <v>Jun-26</v>
      </c>
      <c r="B128" s="18" t="str">
        <v>ST011</v>
      </c>
      <c r="C128" s="19">
        <v>1494161</v>
      </c>
      <c r="D128" s="19">
        <v>1174317</v>
      </c>
      <c r="E128" s="13">
        <f>C128*(1+Assumptions!$B$12)</f>
        <v>1538985.83</v>
      </c>
      <c r="F128" s="13">
        <f>D128*(1+Assumptions!$B$12)*(1+Assumptions!$B$13)</f>
        <v>1245832.9053</v>
      </c>
      <c r="G128" s="14">
        <f t="shared" si="4"/>
        <v>293152.92470000009</v>
      </c>
      <c r="H128" s="15">
        <f t="shared" si="5"/>
        <v>0.19048448594227801</v>
      </c>
      <c r="I128" s="16">
        <v>72095.795200000008</v>
      </c>
      <c r="J128" s="16">
        <v>115350.1738</v>
      </c>
      <c r="K128" s="17">
        <f t="shared" si="6"/>
        <v>105706.95570000009</v>
      </c>
      <c r="L128" s="15">
        <f t="shared" si="7"/>
        <v>6.8686113698655751E-2</v>
      </c>
    </row>
    <row r="129" spans="1:12" x14ac:dyDescent="0.3">
      <c r="A129" s="18" t="str">
        <v>Jun-26</v>
      </c>
      <c r="B129" s="18" t="str">
        <v>ST012</v>
      </c>
      <c r="C129" s="19">
        <v>1403769</v>
      </c>
      <c r="D129" s="19">
        <v>1082913</v>
      </c>
      <c r="E129" s="13">
        <f>C129*(1+Assumptions!$B$12)</f>
        <v>1445882.07</v>
      </c>
      <c r="F129" s="13">
        <f>D129*(1+Assumptions!$B$12)*(1+Assumptions!$B$13)</f>
        <v>1148862.4017000003</v>
      </c>
      <c r="G129" s="14">
        <f t="shared" si="4"/>
        <v>297019.66829999979</v>
      </c>
      <c r="H129" s="15">
        <f t="shared" si="5"/>
        <v>0.20542454634630042</v>
      </c>
      <c r="I129" s="16">
        <v>70102.084000000003</v>
      </c>
      <c r="J129" s="16">
        <v>118468.9829</v>
      </c>
      <c r="K129" s="17">
        <f t="shared" si="6"/>
        <v>108448.60139999978</v>
      </c>
      <c r="L129" s="15">
        <f t="shared" si="7"/>
        <v>7.5005149901333085E-2</v>
      </c>
    </row>
    <row r="130" spans="1:12" x14ac:dyDescent="0.3">
      <c r="A130" s="18" t="str">
        <v>Jun-26</v>
      </c>
      <c r="B130" s="18" t="str">
        <v>ST013</v>
      </c>
      <c r="C130" s="19">
        <v>1512649</v>
      </c>
      <c r="D130" s="19">
        <v>1171853</v>
      </c>
      <c r="E130" s="13">
        <f>C130*(1+Assumptions!$B$12)</f>
        <v>1558028.47</v>
      </c>
      <c r="F130" s="13">
        <f>D130*(1+Assumptions!$B$12)*(1+Assumptions!$B$13)</f>
        <v>1243218.8477</v>
      </c>
      <c r="G130" s="14">
        <f t="shared" si="4"/>
        <v>314809.62229999993</v>
      </c>
      <c r="H130" s="15">
        <f t="shared" si="5"/>
        <v>0.20205639907209136</v>
      </c>
      <c r="I130" s="16">
        <v>70963.245599999995</v>
      </c>
      <c r="J130" s="16">
        <v>113972.59</v>
      </c>
      <c r="K130" s="17">
        <f t="shared" si="6"/>
        <v>129873.78669999994</v>
      </c>
      <c r="L130" s="15">
        <f t="shared" si="7"/>
        <v>8.3357775034752696E-2</v>
      </c>
    </row>
    <row r="131" spans="1:12" x14ac:dyDescent="0.3">
      <c r="A131" s="18" t="str">
        <v>Jun-26</v>
      </c>
      <c r="B131" s="18" t="str">
        <v>ST014</v>
      </c>
      <c r="C131" s="19">
        <v>1729618</v>
      </c>
      <c r="D131" s="19">
        <v>1336940</v>
      </c>
      <c r="E131" s="13">
        <f>C131*(1+Assumptions!$B$12)</f>
        <v>1781506.54</v>
      </c>
      <c r="F131" s="13">
        <f>D131*(1+Assumptions!$B$12)*(1+Assumptions!$B$13)</f>
        <v>1418359.6459999999</v>
      </c>
      <c r="G131" s="14">
        <f t="shared" ref="G131:G194" si="8">E131-F131</f>
        <v>363146.89400000009</v>
      </c>
      <c r="H131" s="15">
        <f t="shared" ref="H131:H194" si="9">IFERROR(G131/E131,0)</f>
        <v>0.2038425825818187</v>
      </c>
      <c r="I131" s="16">
        <v>68414.205600000001</v>
      </c>
      <c r="J131" s="16">
        <v>143895.61440000002</v>
      </c>
      <c r="K131" s="17">
        <f t="shared" ref="K131:K194" si="10">E131-F131-I131-J131</f>
        <v>150837.07400000008</v>
      </c>
      <c r="L131" s="15">
        <f t="shared" ref="L131:L194" si="11">IFERROR(K131/E131,0)</f>
        <v>8.4668268464509866E-2</v>
      </c>
    </row>
    <row r="132" spans="1:12" x14ac:dyDescent="0.3">
      <c r="A132" s="18" t="str">
        <v>Jun-26</v>
      </c>
      <c r="B132" s="18" t="str">
        <v>ST015</v>
      </c>
      <c r="C132" s="19">
        <v>1353249</v>
      </c>
      <c r="D132" s="19">
        <v>1071621</v>
      </c>
      <c r="E132" s="13">
        <f>C132*(1+Assumptions!$B$12)</f>
        <v>1393846.47</v>
      </c>
      <c r="F132" s="13">
        <f>D132*(1+Assumptions!$B$12)*(1+Assumptions!$B$13)</f>
        <v>1136882.7189000002</v>
      </c>
      <c r="G132" s="14">
        <f t="shared" si="8"/>
        <v>256963.75109999976</v>
      </c>
      <c r="H132" s="15">
        <f t="shared" si="9"/>
        <v>0.18435585025372253</v>
      </c>
      <c r="I132" s="16">
        <v>68205.789600000004</v>
      </c>
      <c r="J132" s="16">
        <v>141208.1899</v>
      </c>
      <c r="K132" s="17">
        <f t="shared" si="10"/>
        <v>47549.771599999745</v>
      </c>
      <c r="L132" s="15">
        <f t="shared" si="11"/>
        <v>3.4114066809667887E-2</v>
      </c>
    </row>
    <row r="133" spans="1:12" x14ac:dyDescent="0.3">
      <c r="A133" s="18" t="str">
        <v>Jun-26</v>
      </c>
      <c r="B133" s="18" t="str">
        <v>ST016</v>
      </c>
      <c r="C133" s="19">
        <v>1481438</v>
      </c>
      <c r="D133" s="19">
        <v>1190758</v>
      </c>
      <c r="E133" s="13">
        <f>C133*(1+Assumptions!$B$12)</f>
        <v>1525881.1400000001</v>
      </c>
      <c r="F133" s="13">
        <f>D133*(1+Assumptions!$B$12)*(1+Assumptions!$B$13)</f>
        <v>1263275.1622000001</v>
      </c>
      <c r="G133" s="14">
        <f t="shared" si="8"/>
        <v>262605.97779999999</v>
      </c>
      <c r="H133" s="15">
        <f t="shared" si="9"/>
        <v>0.17210120167026902</v>
      </c>
      <c r="I133" s="16">
        <v>69738.084000000003</v>
      </c>
      <c r="J133" s="16">
        <v>122066.3403</v>
      </c>
      <c r="K133" s="17">
        <f t="shared" si="10"/>
        <v>70801.553499999995</v>
      </c>
      <c r="L133" s="15">
        <f t="shared" si="11"/>
        <v>4.6400438175675983E-2</v>
      </c>
    </row>
    <row r="134" spans="1:12" x14ac:dyDescent="0.3">
      <c r="A134" s="18" t="str">
        <v>Jun-26</v>
      </c>
      <c r="B134" s="18" t="str">
        <v>ST017</v>
      </c>
      <c r="C134" s="19">
        <v>1495745</v>
      </c>
      <c r="D134" s="19">
        <v>1183070</v>
      </c>
      <c r="E134" s="13">
        <f>C134*(1+Assumptions!$B$12)</f>
        <v>1540617.35</v>
      </c>
      <c r="F134" s="13">
        <f>D134*(1+Assumptions!$B$12)*(1+Assumptions!$B$13)</f>
        <v>1255118.9630000002</v>
      </c>
      <c r="G134" s="14">
        <f t="shared" si="8"/>
        <v>285498.38699999987</v>
      </c>
      <c r="H134" s="15">
        <f t="shared" si="9"/>
        <v>0.18531427482625706</v>
      </c>
      <c r="I134" s="16">
        <v>68381.975999999995</v>
      </c>
      <c r="J134" s="16">
        <v>134303.7703</v>
      </c>
      <c r="K134" s="17">
        <f t="shared" si="10"/>
        <v>82812.640699999873</v>
      </c>
      <c r="L134" s="15">
        <f t="shared" si="11"/>
        <v>5.3752893734449941E-2</v>
      </c>
    </row>
    <row r="135" spans="1:12" x14ac:dyDescent="0.3">
      <c r="A135" s="18" t="str">
        <v>Jun-26</v>
      </c>
      <c r="B135" s="18" t="str">
        <v>ST018</v>
      </c>
      <c r="C135" s="19">
        <v>1623528</v>
      </c>
      <c r="D135" s="19">
        <v>1256815</v>
      </c>
      <c r="E135" s="13">
        <f>C135*(1+Assumptions!$B$12)</f>
        <v>1672233.84</v>
      </c>
      <c r="F135" s="13">
        <f>D135*(1+Assumptions!$B$12)*(1+Assumptions!$B$13)</f>
        <v>1333355.0334999999</v>
      </c>
      <c r="G135" s="14">
        <f t="shared" si="8"/>
        <v>338878.80650000018</v>
      </c>
      <c r="H135" s="15">
        <f t="shared" si="9"/>
        <v>0.20265037005829289</v>
      </c>
      <c r="I135" s="16">
        <v>71298.8848</v>
      </c>
      <c r="J135" s="16">
        <v>134594.4981</v>
      </c>
      <c r="K135" s="17">
        <f t="shared" si="10"/>
        <v>132985.42360000018</v>
      </c>
      <c r="L135" s="15">
        <f t="shared" si="11"/>
        <v>7.9525614432010408E-2</v>
      </c>
    </row>
    <row r="136" spans="1:12" x14ac:dyDescent="0.3">
      <c r="A136" s="18" t="str">
        <v>Jun-26</v>
      </c>
      <c r="B136" s="18" t="str">
        <v>ST019</v>
      </c>
      <c r="C136" s="19">
        <v>1530122</v>
      </c>
      <c r="D136" s="19">
        <v>1230346</v>
      </c>
      <c r="E136" s="13">
        <f>C136*(1+Assumptions!$B$12)</f>
        <v>1576025.6600000001</v>
      </c>
      <c r="F136" s="13">
        <f>D136*(1+Assumptions!$B$12)*(1+Assumptions!$B$13)</f>
        <v>1305274.0714000002</v>
      </c>
      <c r="G136" s="14">
        <f t="shared" si="8"/>
        <v>270751.5885999999</v>
      </c>
      <c r="H136" s="15">
        <f t="shared" si="9"/>
        <v>0.17179389617298482</v>
      </c>
      <c r="I136" s="16">
        <v>16455.649600000001</v>
      </c>
      <c r="J136" s="16">
        <v>31355.393900000003</v>
      </c>
      <c r="K136" s="17">
        <f t="shared" si="10"/>
        <v>222940.5450999999</v>
      </c>
      <c r="L136" s="15">
        <f t="shared" si="11"/>
        <v>0.14145743356742038</v>
      </c>
    </row>
    <row r="137" spans="1:12" x14ac:dyDescent="0.3">
      <c r="A137" s="18" t="str">
        <v>Jun-26</v>
      </c>
      <c r="B137" s="18" t="str">
        <v>ST020</v>
      </c>
      <c r="C137" s="19">
        <v>1682404</v>
      </c>
      <c r="D137" s="19">
        <v>1305863</v>
      </c>
      <c r="E137" s="13">
        <f>C137*(1+Assumptions!$B$12)</f>
        <v>1732876.12</v>
      </c>
      <c r="F137" s="13">
        <f>D137*(1+Assumptions!$B$12)*(1+Assumptions!$B$13)</f>
        <v>1385390.0567000001</v>
      </c>
      <c r="G137" s="14">
        <f t="shared" si="8"/>
        <v>347486.06330000004</v>
      </c>
      <c r="H137" s="15">
        <f t="shared" si="9"/>
        <v>0.20052562285871883</v>
      </c>
      <c r="I137" s="16">
        <v>16994.265599999999</v>
      </c>
      <c r="J137" s="16">
        <v>27146.927200000002</v>
      </c>
      <c r="K137" s="17">
        <f t="shared" si="10"/>
        <v>303344.87050000008</v>
      </c>
      <c r="L137" s="15">
        <f t="shared" si="11"/>
        <v>0.1750528309548175</v>
      </c>
    </row>
    <row r="138" spans="1:12" x14ac:dyDescent="0.3">
      <c r="A138" s="18" t="str">
        <v>Jun-26</v>
      </c>
      <c r="B138" s="18" t="str">
        <v>ST021</v>
      </c>
      <c r="C138" s="19">
        <v>1607492</v>
      </c>
      <c r="D138" s="19">
        <v>1269621</v>
      </c>
      <c r="E138" s="13">
        <f>C138*(1+Assumptions!$B$12)</f>
        <v>1655716.76</v>
      </c>
      <c r="F138" s="13">
        <f>D138*(1+Assumptions!$B$12)*(1+Assumptions!$B$13)</f>
        <v>1346940.9189000002</v>
      </c>
      <c r="G138" s="14">
        <f t="shared" si="8"/>
        <v>308775.84109999985</v>
      </c>
      <c r="H138" s="15">
        <f t="shared" si="9"/>
        <v>0.18649073836759364</v>
      </c>
      <c r="I138" s="16">
        <v>16356.236000000001</v>
      </c>
      <c r="J138" s="16">
        <v>30424.2327</v>
      </c>
      <c r="K138" s="17">
        <f t="shared" si="10"/>
        <v>261995.37239999988</v>
      </c>
      <c r="L138" s="15">
        <f t="shared" si="11"/>
        <v>0.15823683055548696</v>
      </c>
    </row>
    <row r="139" spans="1:12" x14ac:dyDescent="0.3">
      <c r="A139" s="18" t="str">
        <v>Jun-26</v>
      </c>
      <c r="B139" s="18" t="str">
        <v>ST022</v>
      </c>
      <c r="C139" s="19">
        <v>1459175</v>
      </c>
      <c r="D139" s="19">
        <v>1159675</v>
      </c>
      <c r="E139" s="13">
        <f>C139*(1+Assumptions!$B$12)</f>
        <v>1502950.25</v>
      </c>
      <c r="F139" s="13">
        <f>D139*(1+Assumptions!$B$12)*(1+Assumptions!$B$13)</f>
        <v>1230299.2075</v>
      </c>
      <c r="G139" s="14">
        <f t="shared" si="8"/>
        <v>272651.04249999998</v>
      </c>
      <c r="H139" s="15">
        <f t="shared" si="9"/>
        <v>0.18141055733548064</v>
      </c>
      <c r="I139" s="16">
        <v>16450.948799999998</v>
      </c>
      <c r="J139" s="16">
        <v>26545.922200000001</v>
      </c>
      <c r="K139" s="17">
        <f t="shared" si="10"/>
        <v>229654.17149999997</v>
      </c>
      <c r="L139" s="15">
        <f t="shared" si="11"/>
        <v>0.15280224445220322</v>
      </c>
    </row>
    <row r="140" spans="1:12" x14ac:dyDescent="0.3">
      <c r="A140" s="18" t="str">
        <v>Jun-26</v>
      </c>
      <c r="B140" s="18" t="str">
        <v>ST023</v>
      </c>
      <c r="C140" s="19">
        <v>1858269</v>
      </c>
      <c r="D140" s="19">
        <v>1484662</v>
      </c>
      <c r="E140" s="13">
        <f>C140*(1+Assumptions!$B$12)</f>
        <v>1914017.07</v>
      </c>
      <c r="F140" s="13">
        <f>D140*(1+Assumptions!$B$12)*(1+Assumptions!$B$13)</f>
        <v>1575077.9158000001</v>
      </c>
      <c r="G140" s="14">
        <f t="shared" si="8"/>
        <v>338939.15419999999</v>
      </c>
      <c r="H140" s="15">
        <f t="shared" si="9"/>
        <v>0.17708261828615771</v>
      </c>
      <c r="I140" s="16">
        <v>15743.384800000002</v>
      </c>
      <c r="J140" s="16">
        <v>27343.162799999998</v>
      </c>
      <c r="K140" s="17">
        <f t="shared" si="10"/>
        <v>295852.6066</v>
      </c>
      <c r="L140" s="15">
        <f t="shared" si="11"/>
        <v>0.15457156116167761</v>
      </c>
    </row>
    <row r="141" spans="1:12" x14ac:dyDescent="0.3">
      <c r="A141" s="18" t="str">
        <v>Jun-26</v>
      </c>
      <c r="B141" s="18" t="str">
        <v>ST025</v>
      </c>
      <c r="C141" s="19">
        <v>1799817</v>
      </c>
      <c r="D141" s="19">
        <v>1451998</v>
      </c>
      <c r="E141" s="13">
        <f>C141*(1+Assumptions!$B$12)</f>
        <v>1853811.51</v>
      </c>
      <c r="F141" s="13">
        <f>D141*(1+Assumptions!$B$12)*(1+Assumptions!$B$13)</f>
        <v>1540424.6782</v>
      </c>
      <c r="G141" s="14">
        <f t="shared" si="8"/>
        <v>313386.83180000004</v>
      </c>
      <c r="H141" s="15">
        <f t="shared" si="9"/>
        <v>0.16904999786089367</v>
      </c>
      <c r="I141" s="16">
        <v>16653.436799999999</v>
      </c>
      <c r="J141" s="16">
        <v>26279.8835</v>
      </c>
      <c r="K141" s="17">
        <f t="shared" si="10"/>
        <v>270453.51150000002</v>
      </c>
      <c r="L141" s="15">
        <f t="shared" si="11"/>
        <v>0.14589051262282865</v>
      </c>
    </row>
    <row r="142" spans="1:12" x14ac:dyDescent="0.3">
      <c r="A142" s="18" t="str">
        <v>Jul-26</v>
      </c>
      <c r="B142" s="18" t="str">
        <v>ST001</v>
      </c>
      <c r="C142" s="19">
        <v>1685952</v>
      </c>
      <c r="D142" s="19">
        <v>1279116</v>
      </c>
      <c r="E142" s="13">
        <f>C142*(1+Assumptions!$B$12)</f>
        <v>1736530.56</v>
      </c>
      <c r="F142" s="13">
        <f>D142*(1+Assumptions!$B$12)*(1+Assumptions!$B$13)</f>
        <v>1357014.1644000001</v>
      </c>
      <c r="G142" s="14">
        <f t="shared" si="8"/>
        <v>379516.39559999993</v>
      </c>
      <c r="H142" s="15">
        <f t="shared" si="9"/>
        <v>0.2185486419542193</v>
      </c>
      <c r="I142" s="16">
        <v>69944.388800000001</v>
      </c>
      <c r="J142" s="16">
        <v>126234.0396</v>
      </c>
      <c r="K142" s="17">
        <f t="shared" si="10"/>
        <v>183337.9671999999</v>
      </c>
      <c r="L142" s="15">
        <f t="shared" si="11"/>
        <v>0.10557716139472943</v>
      </c>
    </row>
    <row r="143" spans="1:12" x14ac:dyDescent="0.3">
      <c r="A143" s="18" t="str">
        <v>Jul-26</v>
      </c>
      <c r="B143" s="18" t="str">
        <v>ST002</v>
      </c>
      <c r="C143" s="19">
        <v>1565713</v>
      </c>
      <c r="D143" s="19">
        <v>1238936</v>
      </c>
      <c r="E143" s="13">
        <f>C143*(1+Assumptions!$B$12)</f>
        <v>1612684.3900000001</v>
      </c>
      <c r="F143" s="13">
        <f>D143*(1+Assumptions!$B$12)*(1+Assumptions!$B$13)</f>
        <v>1314387.2024000001</v>
      </c>
      <c r="G143" s="14">
        <f t="shared" si="8"/>
        <v>298297.18760000006</v>
      </c>
      <c r="H143" s="15">
        <f t="shared" si="9"/>
        <v>0.18496935262081879</v>
      </c>
      <c r="I143" s="16">
        <v>71862.648000000001</v>
      </c>
      <c r="J143" s="16">
        <v>142416.967</v>
      </c>
      <c r="K143" s="17">
        <f t="shared" si="10"/>
        <v>84017.572600000072</v>
      </c>
      <c r="L143" s="15">
        <f t="shared" si="11"/>
        <v>5.2097963569920872E-2</v>
      </c>
    </row>
    <row r="144" spans="1:12" x14ac:dyDescent="0.3">
      <c r="A144" s="18" t="str">
        <v>Jul-26</v>
      </c>
      <c r="B144" s="18" t="str">
        <v>ST003</v>
      </c>
      <c r="C144" s="19">
        <v>1527725</v>
      </c>
      <c r="D144" s="19">
        <v>1214785</v>
      </c>
      <c r="E144" s="13">
        <f>C144*(1+Assumptions!$B$12)</f>
        <v>1573556.75</v>
      </c>
      <c r="F144" s="13">
        <f>D144*(1+Assumptions!$B$12)*(1+Assumptions!$B$13)</f>
        <v>1288765.4065</v>
      </c>
      <c r="G144" s="14">
        <f t="shared" si="8"/>
        <v>284791.34349999996</v>
      </c>
      <c r="H144" s="15">
        <f t="shared" si="9"/>
        <v>0.18098574678034329</v>
      </c>
      <c r="I144" s="16">
        <v>73300.000800000009</v>
      </c>
      <c r="J144" s="16">
        <v>114705.24960000001</v>
      </c>
      <c r="K144" s="17">
        <f t="shared" si="10"/>
        <v>96786.09309999994</v>
      </c>
      <c r="L144" s="15">
        <f t="shared" si="11"/>
        <v>6.1507850352394304E-2</v>
      </c>
    </row>
    <row r="145" spans="1:12" x14ac:dyDescent="0.3">
      <c r="A145" s="18" t="str">
        <v>Jul-26</v>
      </c>
      <c r="B145" s="18" t="str">
        <v>ST004</v>
      </c>
      <c r="C145" s="19">
        <v>1820591</v>
      </c>
      <c r="D145" s="19">
        <v>1414226</v>
      </c>
      <c r="E145" s="13">
        <f>C145*(1+Assumptions!$B$12)</f>
        <v>1875208.73</v>
      </c>
      <c r="F145" s="13">
        <f>D145*(1+Assumptions!$B$12)*(1+Assumptions!$B$13)</f>
        <v>1500352.3634000001</v>
      </c>
      <c r="G145" s="14">
        <f t="shared" si="8"/>
        <v>374856.36659999983</v>
      </c>
      <c r="H145" s="15">
        <f t="shared" si="9"/>
        <v>0.19990114199180367</v>
      </c>
      <c r="I145" s="16">
        <v>71820.486400000009</v>
      </c>
      <c r="J145" s="16">
        <v>127213.24</v>
      </c>
      <c r="K145" s="17">
        <f t="shared" si="10"/>
        <v>175822.64019999985</v>
      </c>
      <c r="L145" s="15">
        <f t="shared" si="11"/>
        <v>9.3761636977873847E-2</v>
      </c>
    </row>
    <row r="146" spans="1:12" x14ac:dyDescent="0.3">
      <c r="A146" s="18" t="str">
        <v>Jul-26</v>
      </c>
      <c r="B146" s="18" t="str">
        <v>ST005</v>
      </c>
      <c r="C146" s="19">
        <v>1714903</v>
      </c>
      <c r="D146" s="19">
        <v>1342604</v>
      </c>
      <c r="E146" s="13">
        <f>C146*(1+Assumptions!$B$12)</f>
        <v>1766350.09</v>
      </c>
      <c r="F146" s="13">
        <f>D146*(1+Assumptions!$B$12)*(1+Assumptions!$B$13)</f>
        <v>1424368.5836000002</v>
      </c>
      <c r="G146" s="14">
        <f t="shared" si="8"/>
        <v>341981.50639999984</v>
      </c>
      <c r="H146" s="15">
        <f t="shared" si="9"/>
        <v>0.19360913124532397</v>
      </c>
      <c r="I146" s="16">
        <v>72265.169600000008</v>
      </c>
      <c r="J146" s="16">
        <v>120968.45300000001</v>
      </c>
      <c r="K146" s="17">
        <f t="shared" si="10"/>
        <v>148747.88379999981</v>
      </c>
      <c r="L146" s="15">
        <f t="shared" si="11"/>
        <v>8.4212005673235363E-2</v>
      </c>
    </row>
    <row r="147" spans="1:12" x14ac:dyDescent="0.3">
      <c r="A147" s="18" t="str">
        <v>Jul-26</v>
      </c>
      <c r="B147" s="18" t="str">
        <v>ST006</v>
      </c>
      <c r="C147" s="19">
        <v>1654049</v>
      </c>
      <c r="D147" s="19">
        <v>1322901</v>
      </c>
      <c r="E147" s="13">
        <f>C147*(1+Assumptions!$B$12)</f>
        <v>1703670.47</v>
      </c>
      <c r="F147" s="13">
        <f>D147*(1+Assumptions!$B$12)*(1+Assumptions!$B$13)</f>
        <v>1403465.6709</v>
      </c>
      <c r="G147" s="14">
        <f t="shared" si="8"/>
        <v>300204.79909999995</v>
      </c>
      <c r="H147" s="15">
        <f t="shared" si="9"/>
        <v>0.17621060198337532</v>
      </c>
      <c r="I147" s="16">
        <v>70904.048800000004</v>
      </c>
      <c r="J147" s="16">
        <v>127528.55390000001</v>
      </c>
      <c r="K147" s="17">
        <f t="shared" si="10"/>
        <v>101772.19639999994</v>
      </c>
      <c r="L147" s="15">
        <f t="shared" si="11"/>
        <v>5.9737019683155007E-2</v>
      </c>
    </row>
    <row r="148" spans="1:12" x14ac:dyDescent="0.3">
      <c r="A148" s="18" t="str">
        <v>Jul-26</v>
      </c>
      <c r="B148" s="18" t="str">
        <v>ST007</v>
      </c>
      <c r="C148" s="19">
        <v>1674017</v>
      </c>
      <c r="D148" s="19">
        <v>1303307</v>
      </c>
      <c r="E148" s="13">
        <f>C148*(1+Assumptions!$B$12)</f>
        <v>1724237.51</v>
      </c>
      <c r="F148" s="13">
        <f>D148*(1+Assumptions!$B$12)*(1+Assumptions!$B$13)</f>
        <v>1382678.3962999999</v>
      </c>
      <c r="G148" s="14">
        <f t="shared" si="8"/>
        <v>341559.1137000001</v>
      </c>
      <c r="H148" s="15">
        <f t="shared" si="9"/>
        <v>0.19809284493526655</v>
      </c>
      <c r="I148" s="16">
        <v>71868.669600000008</v>
      </c>
      <c r="J148" s="16">
        <v>131412.05560000002</v>
      </c>
      <c r="K148" s="17">
        <f t="shared" si="10"/>
        <v>138278.38850000006</v>
      </c>
      <c r="L148" s="15">
        <f t="shared" si="11"/>
        <v>8.0196833497723913E-2</v>
      </c>
    </row>
    <row r="149" spans="1:12" x14ac:dyDescent="0.3">
      <c r="A149" s="18" t="str">
        <v>Jul-26</v>
      </c>
      <c r="B149" s="18" t="str">
        <v>ST008</v>
      </c>
      <c r="C149" s="19">
        <v>1668523</v>
      </c>
      <c r="D149" s="19">
        <v>1312601</v>
      </c>
      <c r="E149" s="13">
        <f>C149*(1+Assumptions!$B$12)</f>
        <v>1718578.69</v>
      </c>
      <c r="F149" s="13">
        <f>D149*(1+Assumptions!$B$12)*(1+Assumptions!$B$13)</f>
        <v>1392538.4009</v>
      </c>
      <c r="G149" s="14">
        <f t="shared" si="8"/>
        <v>326040.28909999994</v>
      </c>
      <c r="H149" s="15">
        <f t="shared" si="9"/>
        <v>0.18971507734685106</v>
      </c>
      <c r="I149" s="16">
        <v>71066.132800000007</v>
      </c>
      <c r="J149" s="16">
        <v>138107.6839</v>
      </c>
      <c r="K149" s="17">
        <f t="shared" si="10"/>
        <v>116866.47239999991</v>
      </c>
      <c r="L149" s="15">
        <f t="shared" si="11"/>
        <v>6.800181631485254E-2</v>
      </c>
    </row>
    <row r="150" spans="1:12" x14ac:dyDescent="0.3">
      <c r="A150" s="18" t="str">
        <v>Jul-26</v>
      </c>
      <c r="B150" s="18" t="str">
        <v>ST009</v>
      </c>
      <c r="C150" s="19">
        <v>1550025</v>
      </c>
      <c r="D150" s="19">
        <v>1195909</v>
      </c>
      <c r="E150" s="13">
        <f>C150*(1+Assumptions!$B$12)</f>
        <v>1596525.75</v>
      </c>
      <c r="F150" s="13">
        <f>D150*(1+Assumptions!$B$12)*(1+Assumptions!$B$13)</f>
        <v>1268739.8581000001</v>
      </c>
      <c r="G150" s="14">
        <f t="shared" si="8"/>
        <v>327785.89189999993</v>
      </c>
      <c r="H150" s="15">
        <f t="shared" si="9"/>
        <v>0.20531199819357748</v>
      </c>
      <c r="I150" s="16">
        <v>70352.661599999992</v>
      </c>
      <c r="J150" s="16">
        <v>142439.318</v>
      </c>
      <c r="K150" s="17">
        <f t="shared" si="10"/>
        <v>114993.91229999994</v>
      </c>
      <c r="L150" s="15">
        <f t="shared" si="11"/>
        <v>7.2027596360409438E-2</v>
      </c>
    </row>
    <row r="151" spans="1:12" x14ac:dyDescent="0.3">
      <c r="A151" s="18" t="str">
        <v>Jul-26</v>
      </c>
      <c r="B151" s="18" t="str">
        <v>ST010</v>
      </c>
      <c r="C151" s="19">
        <v>1516648</v>
      </c>
      <c r="D151" s="19">
        <v>1173919</v>
      </c>
      <c r="E151" s="13">
        <f>C151*(1+Assumptions!$B$12)</f>
        <v>1562147.44</v>
      </c>
      <c r="F151" s="13">
        <f>D151*(1+Assumptions!$B$12)*(1+Assumptions!$B$13)</f>
        <v>1245410.6671000002</v>
      </c>
      <c r="G151" s="14">
        <f t="shared" si="8"/>
        <v>316736.77289999975</v>
      </c>
      <c r="H151" s="15">
        <f t="shared" si="9"/>
        <v>0.20275728448525945</v>
      </c>
      <c r="I151" s="16">
        <v>71384.986400000009</v>
      </c>
      <c r="J151" s="16">
        <v>135591.32180000001</v>
      </c>
      <c r="K151" s="17">
        <f t="shared" si="10"/>
        <v>109760.46469999975</v>
      </c>
      <c r="L151" s="15">
        <f t="shared" si="11"/>
        <v>7.0262551337663584E-2</v>
      </c>
    </row>
    <row r="152" spans="1:12" x14ac:dyDescent="0.3">
      <c r="A152" s="18" t="str">
        <v>Jul-26</v>
      </c>
      <c r="B152" s="18" t="str">
        <v>ST011</v>
      </c>
      <c r="C152" s="19">
        <v>1481107</v>
      </c>
      <c r="D152" s="19">
        <v>1156038</v>
      </c>
      <c r="E152" s="13">
        <f>C152*(1+Assumptions!$B$12)</f>
        <v>1525540.21</v>
      </c>
      <c r="F152" s="13">
        <f>D152*(1+Assumptions!$B$12)*(1+Assumptions!$B$13)</f>
        <v>1226440.7142000003</v>
      </c>
      <c r="G152" s="14">
        <f t="shared" si="8"/>
        <v>299099.49579999968</v>
      </c>
      <c r="H152" s="15">
        <f t="shared" si="9"/>
        <v>0.1960613649115153</v>
      </c>
      <c r="I152" s="16">
        <v>72894.556800000006</v>
      </c>
      <c r="J152" s="16">
        <v>122350.05380000001</v>
      </c>
      <c r="K152" s="17">
        <f t="shared" si="10"/>
        <v>103854.88519999966</v>
      </c>
      <c r="L152" s="15">
        <f t="shared" si="11"/>
        <v>6.8077448578034966E-2</v>
      </c>
    </row>
    <row r="153" spans="1:12" x14ac:dyDescent="0.3">
      <c r="A153" s="18" t="str">
        <v>Jul-26</v>
      </c>
      <c r="B153" s="18" t="str">
        <v>ST012</v>
      </c>
      <c r="C153" s="19">
        <v>1763658</v>
      </c>
      <c r="D153" s="19">
        <v>1385548</v>
      </c>
      <c r="E153" s="13">
        <f>C153*(1+Assumptions!$B$12)</f>
        <v>1816567.74</v>
      </c>
      <c r="F153" s="13">
        <f>D153*(1+Assumptions!$B$12)*(1+Assumptions!$B$13)</f>
        <v>1469927.8732</v>
      </c>
      <c r="G153" s="14">
        <f t="shared" si="8"/>
        <v>346639.86679999996</v>
      </c>
      <c r="H153" s="15">
        <f t="shared" si="9"/>
        <v>0.19082132703732807</v>
      </c>
      <c r="I153" s="16">
        <v>73170.832800000004</v>
      </c>
      <c r="J153" s="16">
        <v>133510.14499999999</v>
      </c>
      <c r="K153" s="17">
        <f t="shared" si="10"/>
        <v>139958.889</v>
      </c>
      <c r="L153" s="15">
        <f t="shared" si="11"/>
        <v>7.7045785807029685E-2</v>
      </c>
    </row>
    <row r="154" spans="1:12" x14ac:dyDescent="0.3">
      <c r="A154" s="18" t="str">
        <v>Jul-26</v>
      </c>
      <c r="B154" s="18" t="str">
        <v>ST013</v>
      </c>
      <c r="C154" s="19">
        <v>1697818</v>
      </c>
      <c r="D154" s="19">
        <v>1338199</v>
      </c>
      <c r="E154" s="13">
        <f>C154*(1+Assumptions!$B$12)</f>
        <v>1748752.54</v>
      </c>
      <c r="F154" s="13">
        <f>D154*(1+Assumptions!$B$12)*(1+Assumptions!$B$13)</f>
        <v>1419695.3191</v>
      </c>
      <c r="G154" s="14">
        <f t="shared" si="8"/>
        <v>329057.22090000007</v>
      </c>
      <c r="H154" s="15">
        <f t="shared" si="9"/>
        <v>0.1881668294245909</v>
      </c>
      <c r="I154" s="16">
        <v>72827.695200000002</v>
      </c>
      <c r="J154" s="16">
        <v>124384.28320000001</v>
      </c>
      <c r="K154" s="17">
        <f t="shared" si="10"/>
        <v>131845.24250000005</v>
      </c>
      <c r="L154" s="15">
        <f t="shared" si="11"/>
        <v>7.5393881915390981E-2</v>
      </c>
    </row>
    <row r="155" spans="1:12" x14ac:dyDescent="0.3">
      <c r="A155" s="18" t="str">
        <v>Jul-26</v>
      </c>
      <c r="B155" s="18" t="str">
        <v>ST014</v>
      </c>
      <c r="C155" s="19">
        <v>1574533</v>
      </c>
      <c r="D155" s="19">
        <v>1212821</v>
      </c>
      <c r="E155" s="13">
        <f>C155*(1+Assumptions!$B$12)</f>
        <v>1621768.99</v>
      </c>
      <c r="F155" s="13">
        <f>D155*(1+Assumptions!$B$12)*(1+Assumptions!$B$13)</f>
        <v>1286681.7989000001</v>
      </c>
      <c r="G155" s="14">
        <f t="shared" si="8"/>
        <v>335087.19109999994</v>
      </c>
      <c r="H155" s="15">
        <f t="shared" si="9"/>
        <v>0.20661832429044036</v>
      </c>
      <c r="I155" s="16">
        <v>72462.114400000006</v>
      </c>
      <c r="J155" s="16">
        <v>127425.34789999999</v>
      </c>
      <c r="K155" s="17">
        <f t="shared" si="10"/>
        <v>135199.72879999992</v>
      </c>
      <c r="L155" s="15">
        <f t="shared" si="11"/>
        <v>8.3365590064710712E-2</v>
      </c>
    </row>
    <row r="156" spans="1:12" x14ac:dyDescent="0.3">
      <c r="A156" s="18" t="str">
        <v>Jul-26</v>
      </c>
      <c r="B156" s="18" t="str">
        <v>ST015</v>
      </c>
      <c r="C156" s="19">
        <v>1573892</v>
      </c>
      <c r="D156" s="19">
        <v>1265479</v>
      </c>
      <c r="E156" s="13">
        <f>C156*(1+Assumptions!$B$12)</f>
        <v>1621108.76</v>
      </c>
      <c r="F156" s="13">
        <f>D156*(1+Assumptions!$B$12)*(1+Assumptions!$B$13)</f>
        <v>1342546.6711000002</v>
      </c>
      <c r="G156" s="14">
        <f t="shared" si="8"/>
        <v>278562.08889999986</v>
      </c>
      <c r="H156" s="15">
        <f t="shared" si="9"/>
        <v>0.17183429993925878</v>
      </c>
      <c r="I156" s="16">
        <v>71437.912000000011</v>
      </c>
      <c r="J156" s="16">
        <v>143603.424</v>
      </c>
      <c r="K156" s="17">
        <f t="shared" si="10"/>
        <v>63520.752899999847</v>
      </c>
      <c r="L156" s="15">
        <f t="shared" si="11"/>
        <v>3.9183523318941198E-2</v>
      </c>
    </row>
    <row r="157" spans="1:12" x14ac:dyDescent="0.3">
      <c r="A157" s="18" t="str">
        <v>Jul-26</v>
      </c>
      <c r="B157" s="18" t="str">
        <v>ST016</v>
      </c>
      <c r="C157" s="19">
        <v>1580736</v>
      </c>
      <c r="D157" s="19">
        <v>1244542</v>
      </c>
      <c r="E157" s="13">
        <f>C157*(1+Assumptions!$B$12)</f>
        <v>1628158.08</v>
      </c>
      <c r="F157" s="13">
        <f>D157*(1+Assumptions!$B$12)*(1+Assumptions!$B$13)</f>
        <v>1320334.6078000001</v>
      </c>
      <c r="G157" s="14">
        <f t="shared" si="8"/>
        <v>307823.47219999996</v>
      </c>
      <c r="H157" s="15">
        <f t="shared" si="9"/>
        <v>0.18906239878132713</v>
      </c>
      <c r="I157" s="16">
        <v>74273.877600000007</v>
      </c>
      <c r="J157" s="16">
        <v>122003.7884</v>
      </c>
      <c r="K157" s="17">
        <f t="shared" si="10"/>
        <v>111545.80619999995</v>
      </c>
      <c r="L157" s="15">
        <f t="shared" si="11"/>
        <v>6.8510427562414544E-2</v>
      </c>
    </row>
    <row r="158" spans="1:12" x14ac:dyDescent="0.3">
      <c r="A158" s="18" t="str">
        <v>Jul-26</v>
      </c>
      <c r="B158" s="18" t="str">
        <v>ST017</v>
      </c>
      <c r="C158" s="19">
        <v>1445951</v>
      </c>
      <c r="D158" s="19">
        <v>1163175</v>
      </c>
      <c r="E158" s="13">
        <f>C158*(1+Assumptions!$B$12)</f>
        <v>1489329.53</v>
      </c>
      <c r="F158" s="13">
        <f>D158*(1+Assumptions!$B$12)*(1+Assumptions!$B$13)</f>
        <v>1234012.3574999999</v>
      </c>
      <c r="G158" s="14">
        <f t="shared" si="8"/>
        <v>255317.1725000001</v>
      </c>
      <c r="H158" s="15">
        <f t="shared" si="9"/>
        <v>0.17143094752173491</v>
      </c>
      <c r="I158" s="16">
        <v>73532.794399999999</v>
      </c>
      <c r="J158" s="16">
        <v>118001.51740000001</v>
      </c>
      <c r="K158" s="17">
        <f t="shared" si="10"/>
        <v>63782.860700000077</v>
      </c>
      <c r="L158" s="15">
        <f t="shared" si="11"/>
        <v>4.2826560150190589E-2</v>
      </c>
    </row>
    <row r="159" spans="1:12" x14ac:dyDescent="0.3">
      <c r="A159" s="18" t="str">
        <v>Jul-26</v>
      </c>
      <c r="B159" s="18" t="str">
        <v>ST018</v>
      </c>
      <c r="C159" s="19">
        <v>1785526</v>
      </c>
      <c r="D159" s="19">
        <v>1386286</v>
      </c>
      <c r="E159" s="13">
        <f>C159*(1+Assumptions!$B$12)</f>
        <v>1839091.78</v>
      </c>
      <c r="F159" s="13">
        <f>D159*(1+Assumptions!$B$12)*(1+Assumptions!$B$13)</f>
        <v>1470710.8174000001</v>
      </c>
      <c r="G159" s="14">
        <f t="shared" si="8"/>
        <v>368380.96259999997</v>
      </c>
      <c r="H159" s="15">
        <f t="shared" si="9"/>
        <v>0.20030591545572562</v>
      </c>
      <c r="I159" s="16">
        <v>70014.058400000009</v>
      </c>
      <c r="J159" s="16">
        <v>133750.16589999999</v>
      </c>
      <c r="K159" s="17">
        <f t="shared" si="10"/>
        <v>164616.7383</v>
      </c>
      <c r="L159" s="15">
        <f t="shared" si="11"/>
        <v>8.9509800484236846E-2</v>
      </c>
    </row>
    <row r="160" spans="1:12" x14ac:dyDescent="0.3">
      <c r="A160" s="18" t="str">
        <v>Jul-26</v>
      </c>
      <c r="B160" s="18" t="str">
        <v>ST019</v>
      </c>
      <c r="C160" s="19">
        <v>1691006</v>
      </c>
      <c r="D160" s="19">
        <v>1329556</v>
      </c>
      <c r="E160" s="13">
        <f>C160*(1+Assumptions!$B$12)</f>
        <v>1741736.18</v>
      </c>
      <c r="F160" s="13">
        <f>D160*(1+Assumptions!$B$12)*(1+Assumptions!$B$13)</f>
        <v>1410525.9604</v>
      </c>
      <c r="G160" s="14">
        <f t="shared" si="8"/>
        <v>331210.21959999995</v>
      </c>
      <c r="H160" s="15">
        <f t="shared" si="9"/>
        <v>0.19016095744190142</v>
      </c>
      <c r="I160" s="16">
        <v>17160.0936</v>
      </c>
      <c r="J160" s="16">
        <v>27006.126200000002</v>
      </c>
      <c r="K160" s="17">
        <f t="shared" si="10"/>
        <v>287043.99979999993</v>
      </c>
      <c r="L160" s="15">
        <f t="shared" si="11"/>
        <v>0.16480337441230619</v>
      </c>
    </row>
    <row r="161" spans="1:12" x14ac:dyDescent="0.3">
      <c r="A161" s="18" t="str">
        <v>Jul-26</v>
      </c>
      <c r="B161" s="18" t="str">
        <v>ST020</v>
      </c>
      <c r="C161" s="19">
        <v>1652222</v>
      </c>
      <c r="D161" s="19">
        <v>1304907</v>
      </c>
      <c r="E161" s="13">
        <f>C161*(1+Assumptions!$B$12)</f>
        <v>1701788.6600000001</v>
      </c>
      <c r="F161" s="13">
        <f>D161*(1+Assumptions!$B$12)*(1+Assumptions!$B$13)</f>
        <v>1384375.8363000001</v>
      </c>
      <c r="G161" s="14">
        <f t="shared" si="8"/>
        <v>317412.82370000007</v>
      </c>
      <c r="H161" s="15">
        <f t="shared" si="9"/>
        <v>0.1865171811052026</v>
      </c>
      <c r="I161" s="16">
        <v>16880.084000000003</v>
      </c>
      <c r="J161" s="16">
        <v>28659.7294</v>
      </c>
      <c r="K161" s="17">
        <f t="shared" si="10"/>
        <v>271873.01030000002</v>
      </c>
      <c r="L161" s="15">
        <f t="shared" si="11"/>
        <v>0.15975721115687772</v>
      </c>
    </row>
    <row r="162" spans="1:12" x14ac:dyDescent="0.3">
      <c r="A162" s="18" t="str">
        <v>Jul-26</v>
      </c>
      <c r="B162" s="18" t="str">
        <v>ST021</v>
      </c>
      <c r="C162" s="19">
        <v>1767768</v>
      </c>
      <c r="D162" s="19">
        <v>1384808</v>
      </c>
      <c r="E162" s="13">
        <f>C162*(1+Assumptions!$B$12)</f>
        <v>1820801.04</v>
      </c>
      <c r="F162" s="13">
        <f>D162*(1+Assumptions!$B$12)*(1+Assumptions!$B$13)</f>
        <v>1469142.8071999999</v>
      </c>
      <c r="G162" s="14">
        <f t="shared" si="8"/>
        <v>351658.23280000011</v>
      </c>
      <c r="H162" s="15">
        <f t="shared" si="9"/>
        <v>0.19313380488842433</v>
      </c>
      <c r="I162" s="16">
        <v>16957.938399999999</v>
      </c>
      <c r="J162" s="16">
        <v>25852.598300000001</v>
      </c>
      <c r="K162" s="17">
        <f t="shared" si="10"/>
        <v>308847.69610000012</v>
      </c>
      <c r="L162" s="15">
        <f t="shared" si="11"/>
        <v>0.1696218803236185</v>
      </c>
    </row>
    <row r="163" spans="1:12" x14ac:dyDescent="0.3">
      <c r="A163" s="18" t="str">
        <v>Jul-26</v>
      </c>
      <c r="B163" s="18" t="str">
        <v>ST022</v>
      </c>
      <c r="C163" s="19">
        <v>1709807</v>
      </c>
      <c r="D163" s="19">
        <v>1294759</v>
      </c>
      <c r="E163" s="13">
        <f>C163*(1+Assumptions!$B$12)</f>
        <v>1761101.21</v>
      </c>
      <c r="F163" s="13">
        <f>D163*(1+Assumptions!$B$12)*(1+Assumptions!$B$13)</f>
        <v>1373609.8231000002</v>
      </c>
      <c r="G163" s="14">
        <f t="shared" si="8"/>
        <v>387491.38689999981</v>
      </c>
      <c r="H163" s="15">
        <f t="shared" si="9"/>
        <v>0.2200278920369374</v>
      </c>
      <c r="I163" s="16">
        <v>16901.6224</v>
      </c>
      <c r="J163" s="16">
        <v>32126.266500000002</v>
      </c>
      <c r="K163" s="17">
        <f t="shared" si="10"/>
        <v>338463.49799999979</v>
      </c>
      <c r="L163" s="15">
        <f t="shared" si="11"/>
        <v>0.19218855570487048</v>
      </c>
    </row>
    <row r="164" spans="1:12" x14ac:dyDescent="0.3">
      <c r="A164" s="18" t="str">
        <v>Jul-26</v>
      </c>
      <c r="B164" s="18" t="str">
        <v>ST023</v>
      </c>
      <c r="C164" s="19">
        <v>1982714</v>
      </c>
      <c r="D164" s="19">
        <v>1542043</v>
      </c>
      <c r="E164" s="13">
        <f>C164*(1+Assumptions!$B$12)</f>
        <v>2042195.4200000002</v>
      </c>
      <c r="F164" s="13">
        <f>D164*(1+Assumptions!$B$12)*(1+Assumptions!$B$13)</f>
        <v>1635953.4187</v>
      </c>
      <c r="G164" s="14">
        <f t="shared" si="8"/>
        <v>406242.00130000012</v>
      </c>
      <c r="H164" s="15">
        <f t="shared" si="9"/>
        <v>0.19892415648449555</v>
      </c>
      <c r="I164" s="16">
        <v>16754.264800000001</v>
      </c>
      <c r="J164" s="16">
        <v>31621.700400000002</v>
      </c>
      <c r="K164" s="17">
        <f t="shared" si="10"/>
        <v>357866.03610000014</v>
      </c>
      <c r="L164" s="15">
        <f t="shared" si="11"/>
        <v>0.17523594098551065</v>
      </c>
    </row>
    <row r="165" spans="1:12" x14ac:dyDescent="0.3">
      <c r="A165" s="18" t="str">
        <v>Jul-26</v>
      </c>
      <c r="B165" s="18" t="str">
        <v>ST024</v>
      </c>
      <c r="C165" s="19">
        <v>2588744</v>
      </c>
      <c r="D165" s="19">
        <v>2023505</v>
      </c>
      <c r="E165" s="13">
        <f>C165*(1+Assumptions!$B$12)</f>
        <v>2666406.3200000003</v>
      </c>
      <c r="F165" s="13">
        <f>D165*(1+Assumptions!$B$12)*(1+Assumptions!$B$13)</f>
        <v>2146736.4545</v>
      </c>
      <c r="G165" s="14">
        <f t="shared" si="8"/>
        <v>519669.86550000031</v>
      </c>
      <c r="H165" s="15">
        <f t="shared" si="9"/>
        <v>0.19489522718353003</v>
      </c>
      <c r="I165" s="16">
        <v>12739.74</v>
      </c>
      <c r="J165" s="16">
        <v>29444.4761</v>
      </c>
      <c r="K165" s="17">
        <f t="shared" si="10"/>
        <v>477485.64940000034</v>
      </c>
      <c r="L165" s="15">
        <f t="shared" si="11"/>
        <v>0.1790746015783522</v>
      </c>
    </row>
    <row r="166" spans="1:12" x14ac:dyDescent="0.3">
      <c r="A166" s="18" t="str">
        <v>Jul-26</v>
      </c>
      <c r="B166" s="18" t="str">
        <v>ST025</v>
      </c>
      <c r="C166" s="19">
        <v>1947320</v>
      </c>
      <c r="D166" s="19">
        <v>1533965</v>
      </c>
      <c r="E166" s="13">
        <f>C166*(1+Assumptions!$B$12)</f>
        <v>2005739.6</v>
      </c>
      <c r="F166" s="13">
        <f>D166*(1+Assumptions!$B$12)*(1+Assumptions!$B$13)</f>
        <v>1627383.4685</v>
      </c>
      <c r="G166" s="14">
        <f t="shared" si="8"/>
        <v>378356.13150000013</v>
      </c>
      <c r="H166" s="15">
        <f t="shared" si="9"/>
        <v>0.18863671610213018</v>
      </c>
      <c r="I166" s="16">
        <v>16861.072800000002</v>
      </c>
      <c r="J166" s="16">
        <v>29820.374599999999</v>
      </c>
      <c r="K166" s="17">
        <f t="shared" si="10"/>
        <v>331674.68410000013</v>
      </c>
      <c r="L166" s="15">
        <f t="shared" si="11"/>
        <v>0.16536278393267009</v>
      </c>
    </row>
    <row r="167" spans="1:12" x14ac:dyDescent="0.3">
      <c r="A167" s="18" t="str">
        <v>Aug-26</v>
      </c>
      <c r="B167" s="18" t="str">
        <v>ST001</v>
      </c>
      <c r="C167" s="19">
        <v>1698109</v>
      </c>
      <c r="D167" s="19">
        <v>1310204</v>
      </c>
      <c r="E167" s="13">
        <f>C167*(1+Assumptions!$B$12)</f>
        <v>1749052.27</v>
      </c>
      <c r="F167" s="13">
        <f>D167*(1+Assumptions!$B$12)*(1+Assumptions!$B$13)</f>
        <v>1389995.4236000001</v>
      </c>
      <c r="G167" s="14">
        <f t="shared" si="8"/>
        <v>359056.84639999992</v>
      </c>
      <c r="H167" s="15">
        <f t="shared" si="9"/>
        <v>0.20528651576547791</v>
      </c>
      <c r="I167" s="16">
        <v>72488.530400000003</v>
      </c>
      <c r="J167" s="16">
        <v>141375.30739999999</v>
      </c>
      <c r="K167" s="17">
        <f t="shared" si="10"/>
        <v>145193.00859999994</v>
      </c>
      <c r="L167" s="15">
        <f t="shared" si="11"/>
        <v>8.3012389675466897E-2</v>
      </c>
    </row>
    <row r="168" spans="1:12" x14ac:dyDescent="0.3">
      <c r="A168" s="18" t="str">
        <v>Aug-26</v>
      </c>
      <c r="B168" s="18" t="str">
        <v>ST002</v>
      </c>
      <c r="C168" s="19">
        <v>1692817</v>
      </c>
      <c r="D168" s="19">
        <v>1303993</v>
      </c>
      <c r="E168" s="13">
        <f>C168*(1+Assumptions!$B$12)</f>
        <v>1743601.51</v>
      </c>
      <c r="F168" s="13">
        <f>D168*(1+Assumptions!$B$12)*(1+Assumptions!$B$13)</f>
        <v>1383406.1737000002</v>
      </c>
      <c r="G168" s="14">
        <f t="shared" si="8"/>
        <v>360195.33629999985</v>
      </c>
      <c r="H168" s="15">
        <f t="shared" si="9"/>
        <v>0.20658122525943434</v>
      </c>
      <c r="I168" s="16">
        <v>73021.3848</v>
      </c>
      <c r="J168" s="16">
        <v>139164.71109999999</v>
      </c>
      <c r="K168" s="17">
        <f t="shared" si="10"/>
        <v>148009.24039999986</v>
      </c>
      <c r="L168" s="15">
        <f t="shared" si="11"/>
        <v>8.4887079731882004E-2</v>
      </c>
    </row>
    <row r="169" spans="1:12" x14ac:dyDescent="0.3">
      <c r="A169" s="18" t="str">
        <v>Aug-26</v>
      </c>
      <c r="B169" s="18" t="str">
        <v>ST003</v>
      </c>
      <c r="C169" s="19">
        <v>1676981</v>
      </c>
      <c r="D169" s="19">
        <v>1330218</v>
      </c>
      <c r="E169" s="13">
        <f>C169*(1+Assumptions!$B$12)</f>
        <v>1727290.43</v>
      </c>
      <c r="F169" s="13">
        <f>D169*(1+Assumptions!$B$12)*(1+Assumptions!$B$13)</f>
        <v>1411228.2762</v>
      </c>
      <c r="G169" s="14">
        <f t="shared" si="8"/>
        <v>316062.15379999997</v>
      </c>
      <c r="H169" s="15">
        <f t="shared" si="9"/>
        <v>0.18298147683247454</v>
      </c>
      <c r="I169" s="16">
        <v>71907.700800000006</v>
      </c>
      <c r="J169" s="16">
        <v>113316.62420000001</v>
      </c>
      <c r="K169" s="17">
        <f t="shared" si="10"/>
        <v>130837.82879999997</v>
      </c>
      <c r="L169" s="15">
        <f t="shared" si="11"/>
        <v>7.5747440342154845E-2</v>
      </c>
    </row>
    <row r="170" spans="1:12" x14ac:dyDescent="0.3">
      <c r="A170" s="18" t="str">
        <v>Aug-26</v>
      </c>
      <c r="B170" s="18" t="str">
        <v>ST004</v>
      </c>
      <c r="C170" s="19">
        <v>1701796</v>
      </c>
      <c r="D170" s="19">
        <v>1323460</v>
      </c>
      <c r="E170" s="13">
        <f>C170*(1+Assumptions!$B$12)</f>
        <v>1752849.8800000001</v>
      </c>
      <c r="F170" s="13">
        <f>D170*(1+Assumptions!$B$12)*(1+Assumptions!$B$13)</f>
        <v>1404058.7140000002</v>
      </c>
      <c r="G170" s="14">
        <f t="shared" si="8"/>
        <v>348791.16599999997</v>
      </c>
      <c r="H170" s="15">
        <f t="shared" si="9"/>
        <v>0.19898518976422552</v>
      </c>
      <c r="I170" s="16">
        <v>74559.64880000001</v>
      </c>
      <c r="J170" s="16">
        <v>117199.477</v>
      </c>
      <c r="K170" s="17">
        <f t="shared" si="10"/>
        <v>157032.04019999993</v>
      </c>
      <c r="L170" s="15">
        <f t="shared" si="11"/>
        <v>8.9586702199506055E-2</v>
      </c>
    </row>
    <row r="171" spans="1:12" x14ac:dyDescent="0.3">
      <c r="A171" s="18" t="str">
        <v>Aug-26</v>
      </c>
      <c r="B171" s="18" t="str">
        <v>ST005</v>
      </c>
      <c r="C171" s="19">
        <v>1654406</v>
      </c>
      <c r="D171" s="19">
        <v>1294694</v>
      </c>
      <c r="E171" s="13">
        <f>C171*(1+Assumptions!$B$12)</f>
        <v>1704038.18</v>
      </c>
      <c r="F171" s="13">
        <f>D171*(1+Assumptions!$B$12)*(1+Assumptions!$B$13)</f>
        <v>1373540.8646000002</v>
      </c>
      <c r="G171" s="14">
        <f t="shared" si="8"/>
        <v>330497.31539999973</v>
      </c>
      <c r="H171" s="15">
        <f t="shared" si="9"/>
        <v>0.19394947793951409</v>
      </c>
      <c r="I171" s="16">
        <v>72476.622399999993</v>
      </c>
      <c r="J171" s="16">
        <v>138907.6231</v>
      </c>
      <c r="K171" s="17">
        <f t="shared" si="10"/>
        <v>119113.06989999974</v>
      </c>
      <c r="L171" s="15">
        <f t="shared" si="11"/>
        <v>6.9900470129137443E-2</v>
      </c>
    </row>
    <row r="172" spans="1:12" x14ac:dyDescent="0.3">
      <c r="A172" s="18" t="str">
        <v>Aug-26</v>
      </c>
      <c r="B172" s="18" t="str">
        <v>ST006</v>
      </c>
      <c r="C172" s="19">
        <v>1816923</v>
      </c>
      <c r="D172" s="19">
        <v>1415981</v>
      </c>
      <c r="E172" s="13">
        <f>C172*(1+Assumptions!$B$12)</f>
        <v>1871430.69</v>
      </c>
      <c r="F172" s="13">
        <f>D172*(1+Assumptions!$B$12)*(1+Assumptions!$B$13)</f>
        <v>1502214.2429</v>
      </c>
      <c r="G172" s="14">
        <f t="shared" si="8"/>
        <v>369216.44709999999</v>
      </c>
      <c r="H172" s="15">
        <f t="shared" si="9"/>
        <v>0.19729100792933987</v>
      </c>
      <c r="I172" s="16">
        <v>71478.409600000014</v>
      </c>
      <c r="J172" s="16">
        <v>131030.59510000001</v>
      </c>
      <c r="K172" s="17">
        <f t="shared" si="10"/>
        <v>166707.44239999997</v>
      </c>
      <c r="L172" s="15">
        <f t="shared" si="11"/>
        <v>8.9080211888584546E-2</v>
      </c>
    </row>
    <row r="173" spans="1:12" x14ac:dyDescent="0.3">
      <c r="A173" s="18" t="str">
        <v>Aug-26</v>
      </c>
      <c r="B173" s="18" t="str">
        <v>ST007</v>
      </c>
      <c r="C173" s="19">
        <v>1529168</v>
      </c>
      <c r="D173" s="19">
        <v>1170731</v>
      </c>
      <c r="E173" s="13">
        <f>C173*(1+Assumptions!$B$12)</f>
        <v>1575043.04</v>
      </c>
      <c r="F173" s="13">
        <f>D173*(1+Assumptions!$B$12)*(1+Assumptions!$B$13)</f>
        <v>1242028.5178999999</v>
      </c>
      <c r="G173" s="14">
        <f t="shared" si="8"/>
        <v>333014.52210000018</v>
      </c>
      <c r="H173" s="15">
        <f t="shared" si="9"/>
        <v>0.21143201401023312</v>
      </c>
      <c r="I173" s="16">
        <v>74885.855200000005</v>
      </c>
      <c r="J173" s="16">
        <v>140240.51519999999</v>
      </c>
      <c r="K173" s="17">
        <f t="shared" si="10"/>
        <v>117888.15170000019</v>
      </c>
      <c r="L173" s="15">
        <f t="shared" si="11"/>
        <v>7.48475747684966E-2</v>
      </c>
    </row>
    <row r="174" spans="1:12" x14ac:dyDescent="0.3">
      <c r="A174" s="18" t="str">
        <v>Aug-26</v>
      </c>
      <c r="B174" s="18" t="str">
        <v>ST008</v>
      </c>
      <c r="C174" s="19">
        <v>1681712</v>
      </c>
      <c r="D174" s="19">
        <v>1340035</v>
      </c>
      <c r="E174" s="13">
        <f>C174*(1+Assumptions!$B$12)</f>
        <v>1732163.36</v>
      </c>
      <c r="F174" s="13">
        <f>D174*(1+Assumptions!$B$12)*(1+Assumptions!$B$13)</f>
        <v>1421643.1315000001</v>
      </c>
      <c r="G174" s="14">
        <f t="shared" si="8"/>
        <v>310520.22849999997</v>
      </c>
      <c r="H174" s="15">
        <f t="shared" si="9"/>
        <v>0.17926728833474456</v>
      </c>
      <c r="I174" s="16">
        <v>72020.270399999994</v>
      </c>
      <c r="J174" s="16">
        <v>123661.3159</v>
      </c>
      <c r="K174" s="17">
        <f t="shared" si="10"/>
        <v>114838.64219999999</v>
      </c>
      <c r="L174" s="15">
        <f t="shared" si="11"/>
        <v>6.6297812811373619E-2</v>
      </c>
    </row>
    <row r="175" spans="1:12" x14ac:dyDescent="0.3">
      <c r="A175" s="18" t="str">
        <v>Aug-26</v>
      </c>
      <c r="B175" s="18" t="str">
        <v>ST009</v>
      </c>
      <c r="C175" s="19">
        <v>1698318</v>
      </c>
      <c r="D175" s="19">
        <v>1310420</v>
      </c>
      <c r="E175" s="13">
        <f>C175*(1+Assumptions!$B$12)</f>
        <v>1749267.54</v>
      </c>
      <c r="F175" s="13">
        <f>D175*(1+Assumptions!$B$12)*(1+Assumptions!$B$13)</f>
        <v>1390224.5780000002</v>
      </c>
      <c r="G175" s="14">
        <f t="shared" si="8"/>
        <v>359042.96199999982</v>
      </c>
      <c r="H175" s="15">
        <f t="shared" si="9"/>
        <v>0.20525331533905888</v>
      </c>
      <c r="I175" s="16">
        <v>74404.023200000011</v>
      </c>
      <c r="J175" s="16">
        <v>141610.90960000001</v>
      </c>
      <c r="K175" s="17">
        <f t="shared" si="10"/>
        <v>143028.02919999982</v>
      </c>
      <c r="L175" s="15">
        <f t="shared" si="11"/>
        <v>8.1764524825058957E-2</v>
      </c>
    </row>
    <row r="176" spans="1:12" x14ac:dyDescent="0.3">
      <c r="A176" s="18" t="str">
        <v>Aug-26</v>
      </c>
      <c r="B176" s="18" t="str">
        <v>ST010</v>
      </c>
      <c r="C176" s="19">
        <v>1472558</v>
      </c>
      <c r="D176" s="19">
        <v>1164335</v>
      </c>
      <c r="E176" s="13">
        <f>C176*(1+Assumptions!$B$12)</f>
        <v>1516734.74</v>
      </c>
      <c r="F176" s="13">
        <f>D176*(1+Assumptions!$B$12)*(1+Assumptions!$B$13)</f>
        <v>1235243.0015</v>
      </c>
      <c r="G176" s="14">
        <f t="shared" si="8"/>
        <v>281491.73849999998</v>
      </c>
      <c r="H176" s="15">
        <f t="shared" si="9"/>
        <v>0.18559061850195374</v>
      </c>
      <c r="I176" s="16">
        <v>72185.62</v>
      </c>
      <c r="J176" s="16">
        <v>119193.7218</v>
      </c>
      <c r="K176" s="17">
        <f t="shared" si="10"/>
        <v>90112.396699999983</v>
      </c>
      <c r="L176" s="15">
        <f t="shared" si="11"/>
        <v>5.941210043095603E-2</v>
      </c>
    </row>
    <row r="177" spans="1:12" x14ac:dyDescent="0.3">
      <c r="A177" s="18" t="str">
        <v>Aug-26</v>
      </c>
      <c r="B177" s="18" t="str">
        <v>ST011</v>
      </c>
      <c r="C177" s="19">
        <v>1602779</v>
      </c>
      <c r="D177" s="19">
        <v>1252173</v>
      </c>
      <c r="E177" s="13">
        <f>C177*(1+Assumptions!$B$12)</f>
        <v>1650862.37</v>
      </c>
      <c r="F177" s="13">
        <f>D177*(1+Assumptions!$B$12)*(1+Assumptions!$B$13)</f>
        <v>1328430.3356999999</v>
      </c>
      <c r="G177" s="14">
        <f t="shared" si="8"/>
        <v>322432.03430000017</v>
      </c>
      <c r="H177" s="15">
        <f t="shared" si="9"/>
        <v>0.19531127497927048</v>
      </c>
      <c r="I177" s="16">
        <v>74064.847999999998</v>
      </c>
      <c r="J177" s="16">
        <v>124997.0199</v>
      </c>
      <c r="K177" s="17">
        <f t="shared" si="10"/>
        <v>123370.16640000018</v>
      </c>
      <c r="L177" s="15">
        <f t="shared" si="11"/>
        <v>7.4730739910196256E-2</v>
      </c>
    </row>
    <row r="178" spans="1:12" x14ac:dyDescent="0.3">
      <c r="A178" s="18" t="str">
        <v>Aug-26</v>
      </c>
      <c r="B178" s="18" t="str">
        <v>ST012</v>
      </c>
      <c r="C178" s="19">
        <v>1704438</v>
      </c>
      <c r="D178" s="19">
        <v>1310175</v>
      </c>
      <c r="E178" s="13">
        <f>C178*(1+Assumptions!$B$12)</f>
        <v>1755571.1400000001</v>
      </c>
      <c r="F178" s="13">
        <f>D178*(1+Assumptions!$B$12)*(1+Assumptions!$B$13)</f>
        <v>1389964.6575</v>
      </c>
      <c r="G178" s="14">
        <f t="shared" si="8"/>
        <v>365606.48250000016</v>
      </c>
      <c r="H178" s="15">
        <f t="shared" si="9"/>
        <v>0.20825500839572933</v>
      </c>
      <c r="I178" s="16">
        <v>73057.431200000006</v>
      </c>
      <c r="J178" s="16">
        <v>118894.57890000001</v>
      </c>
      <c r="K178" s="17">
        <f t="shared" si="10"/>
        <v>173654.47240000014</v>
      </c>
      <c r="L178" s="15">
        <f t="shared" si="11"/>
        <v>9.8916226431017842E-2</v>
      </c>
    </row>
    <row r="179" spans="1:12" x14ac:dyDescent="0.3">
      <c r="A179" s="18" t="str">
        <v>Aug-26</v>
      </c>
      <c r="B179" s="18" t="str">
        <v>ST013</v>
      </c>
      <c r="C179" s="19">
        <v>1656965</v>
      </c>
      <c r="D179" s="19">
        <v>1284169</v>
      </c>
      <c r="E179" s="13">
        <f>C179*(1+Assumptions!$B$12)</f>
        <v>1706673.95</v>
      </c>
      <c r="F179" s="13">
        <f>D179*(1+Assumptions!$B$12)*(1+Assumptions!$B$13)</f>
        <v>1362374.8921000001</v>
      </c>
      <c r="G179" s="14">
        <f t="shared" si="8"/>
        <v>344299.0578999999</v>
      </c>
      <c r="H179" s="15">
        <f t="shared" si="9"/>
        <v>0.201736868310435</v>
      </c>
      <c r="I179" s="16">
        <v>73112.592800000013</v>
      </c>
      <c r="J179" s="16">
        <v>116110.149</v>
      </c>
      <c r="K179" s="17">
        <f t="shared" si="10"/>
        <v>155076.31609999991</v>
      </c>
      <c r="L179" s="15">
        <f t="shared" si="11"/>
        <v>9.0864641192888604E-2</v>
      </c>
    </row>
    <row r="180" spans="1:12" x14ac:dyDescent="0.3">
      <c r="A180" s="18" t="str">
        <v>Aug-26</v>
      </c>
      <c r="B180" s="18" t="str">
        <v>ST014</v>
      </c>
      <c r="C180" s="19">
        <v>1727266</v>
      </c>
      <c r="D180" s="19">
        <v>1353270</v>
      </c>
      <c r="E180" s="13">
        <f>C180*(1+Assumptions!$B$12)</f>
        <v>1779083.98</v>
      </c>
      <c r="F180" s="13">
        <f>D180*(1+Assumptions!$B$12)*(1+Assumptions!$B$13)</f>
        <v>1435684.1430000002</v>
      </c>
      <c r="G180" s="14">
        <f t="shared" si="8"/>
        <v>343399.83699999982</v>
      </c>
      <c r="H180" s="15">
        <f t="shared" si="9"/>
        <v>0.1930205886065029</v>
      </c>
      <c r="I180" s="16">
        <v>72737.350399999996</v>
      </c>
      <c r="J180" s="16">
        <v>129627.86900000001</v>
      </c>
      <c r="K180" s="17">
        <f t="shared" si="10"/>
        <v>141034.61759999982</v>
      </c>
      <c r="L180" s="15">
        <f t="shared" si="11"/>
        <v>7.9273726920974147E-2</v>
      </c>
    </row>
    <row r="181" spans="1:12" x14ac:dyDescent="0.3">
      <c r="A181" s="18" t="str">
        <v>Aug-26</v>
      </c>
      <c r="B181" s="18" t="str">
        <v>ST015</v>
      </c>
      <c r="C181" s="19">
        <v>1578075</v>
      </c>
      <c r="D181" s="19">
        <v>1245041</v>
      </c>
      <c r="E181" s="13">
        <f>C181*(1+Assumptions!$B$12)</f>
        <v>1625417.25</v>
      </c>
      <c r="F181" s="13">
        <f>D181*(1+Assumptions!$B$12)*(1+Assumptions!$B$13)</f>
        <v>1320863.9968999999</v>
      </c>
      <c r="G181" s="14">
        <f t="shared" si="8"/>
        <v>304553.25310000009</v>
      </c>
      <c r="H181" s="15">
        <f t="shared" si="9"/>
        <v>0.18736927585824506</v>
      </c>
      <c r="I181" s="16">
        <v>70453.333599999998</v>
      </c>
      <c r="J181" s="16">
        <v>121129.8643</v>
      </c>
      <c r="K181" s="17">
        <f t="shared" si="10"/>
        <v>112970.05520000008</v>
      </c>
      <c r="L181" s="15">
        <f t="shared" si="11"/>
        <v>6.9502187945895175E-2</v>
      </c>
    </row>
    <row r="182" spans="1:12" x14ac:dyDescent="0.3">
      <c r="A182" s="18" t="str">
        <v>Aug-26</v>
      </c>
      <c r="B182" s="18" t="str">
        <v>ST016</v>
      </c>
      <c r="C182" s="19">
        <v>1632289</v>
      </c>
      <c r="D182" s="19">
        <v>1267044</v>
      </c>
      <c r="E182" s="13">
        <f>C182*(1+Assumptions!$B$12)</f>
        <v>1681257.6700000002</v>
      </c>
      <c r="F182" s="13">
        <f>D182*(1+Assumptions!$B$12)*(1+Assumptions!$B$13)</f>
        <v>1344206.9796000002</v>
      </c>
      <c r="G182" s="14">
        <f t="shared" si="8"/>
        <v>337050.69039999996</v>
      </c>
      <c r="H182" s="15">
        <f t="shared" si="9"/>
        <v>0.20047533249320429</v>
      </c>
      <c r="I182" s="16">
        <v>71149.3848</v>
      </c>
      <c r="J182" s="16">
        <v>117850.7151</v>
      </c>
      <c r="K182" s="17">
        <f t="shared" si="10"/>
        <v>148050.59049999996</v>
      </c>
      <c r="L182" s="15">
        <f t="shared" si="11"/>
        <v>8.8059429046351917E-2</v>
      </c>
    </row>
    <row r="183" spans="1:12" x14ac:dyDescent="0.3">
      <c r="A183" s="18" t="str">
        <v>Aug-26</v>
      </c>
      <c r="B183" s="18" t="str">
        <v>ST017</v>
      </c>
      <c r="C183" s="19">
        <v>1821959</v>
      </c>
      <c r="D183" s="19">
        <v>1406040</v>
      </c>
      <c r="E183" s="13">
        <f>C183*(1+Assumptions!$B$12)</f>
        <v>1876617.77</v>
      </c>
      <c r="F183" s="13">
        <f>D183*(1+Assumptions!$B$12)*(1+Assumptions!$B$13)</f>
        <v>1491667.8359999999</v>
      </c>
      <c r="G183" s="14">
        <f t="shared" si="8"/>
        <v>384949.93400000012</v>
      </c>
      <c r="H183" s="15">
        <f t="shared" si="9"/>
        <v>0.20512964342227247</v>
      </c>
      <c r="I183" s="16">
        <v>71943.092000000004</v>
      </c>
      <c r="J183" s="16">
        <v>134546.98420000001</v>
      </c>
      <c r="K183" s="17">
        <f t="shared" si="10"/>
        <v>178459.85780000011</v>
      </c>
      <c r="L183" s="15">
        <f t="shared" si="11"/>
        <v>9.5096540517145431E-2</v>
      </c>
    </row>
    <row r="184" spans="1:12" x14ac:dyDescent="0.3">
      <c r="A184" s="18" t="str">
        <v>Aug-26</v>
      </c>
      <c r="B184" s="18" t="str">
        <v>ST018</v>
      </c>
      <c r="C184" s="19">
        <v>1779069</v>
      </c>
      <c r="D184" s="19">
        <v>1381860</v>
      </c>
      <c r="E184" s="13">
        <f>C184*(1+Assumptions!$B$12)</f>
        <v>1832441.07</v>
      </c>
      <c r="F184" s="13">
        <f>D184*(1+Assumptions!$B$12)*(1+Assumptions!$B$13)</f>
        <v>1466015.274</v>
      </c>
      <c r="G184" s="14">
        <f t="shared" si="8"/>
        <v>366425.79600000009</v>
      </c>
      <c r="H184" s="15">
        <f t="shared" si="9"/>
        <v>0.19996593724020825</v>
      </c>
      <c r="I184" s="16">
        <v>71657.695200000002</v>
      </c>
      <c r="J184" s="16">
        <v>142194.65179999999</v>
      </c>
      <c r="K184" s="17">
        <f t="shared" si="10"/>
        <v>152573.44900000008</v>
      </c>
      <c r="L184" s="15">
        <f t="shared" si="11"/>
        <v>8.3262404176522892E-2</v>
      </c>
    </row>
    <row r="185" spans="1:12" x14ac:dyDescent="0.3">
      <c r="A185" s="18" t="str">
        <v>Aug-26</v>
      </c>
      <c r="B185" s="18" t="str">
        <v>ST019</v>
      </c>
      <c r="C185" s="19">
        <v>1600363</v>
      </c>
      <c r="D185" s="19">
        <v>1265899</v>
      </c>
      <c r="E185" s="13">
        <f>C185*(1+Assumptions!$B$12)</f>
        <v>1648373.8900000001</v>
      </c>
      <c r="F185" s="13">
        <f>D185*(1+Assumptions!$B$12)*(1+Assumptions!$B$13)</f>
        <v>1342992.2490999999</v>
      </c>
      <c r="G185" s="14">
        <f t="shared" si="8"/>
        <v>305381.64090000023</v>
      </c>
      <c r="H185" s="15">
        <f t="shared" si="9"/>
        <v>0.18526236235154162</v>
      </c>
      <c r="I185" s="16">
        <v>16936.14</v>
      </c>
      <c r="J185" s="16">
        <v>27503.8737</v>
      </c>
      <c r="K185" s="17">
        <f t="shared" si="10"/>
        <v>260941.62720000022</v>
      </c>
      <c r="L185" s="15">
        <f t="shared" si="11"/>
        <v>0.15830245115081276</v>
      </c>
    </row>
    <row r="186" spans="1:12" x14ac:dyDescent="0.3">
      <c r="A186" s="18" t="str">
        <v>Aug-26</v>
      </c>
      <c r="B186" s="18" t="str">
        <v>ST020</v>
      </c>
      <c r="C186" s="19">
        <v>1668345</v>
      </c>
      <c r="D186" s="19">
        <v>1329317</v>
      </c>
      <c r="E186" s="13">
        <f>C186*(1+Assumptions!$B$12)</f>
        <v>1718395.35</v>
      </c>
      <c r="F186" s="13">
        <f>D186*(1+Assumptions!$B$12)*(1+Assumptions!$B$13)</f>
        <v>1410272.4053</v>
      </c>
      <c r="G186" s="14">
        <f t="shared" si="8"/>
        <v>308122.94470000011</v>
      </c>
      <c r="H186" s="15">
        <f t="shared" si="9"/>
        <v>0.1793085303099779</v>
      </c>
      <c r="I186" s="16">
        <v>17066.597600000001</v>
      </c>
      <c r="J186" s="16">
        <v>29692.747299999999</v>
      </c>
      <c r="K186" s="17">
        <f t="shared" si="10"/>
        <v>261363.59980000014</v>
      </c>
      <c r="L186" s="15">
        <f t="shared" si="11"/>
        <v>0.15209747849934541</v>
      </c>
    </row>
    <row r="187" spans="1:12" x14ac:dyDescent="0.3">
      <c r="A187" s="18" t="str">
        <v>Aug-26</v>
      </c>
      <c r="B187" s="18" t="str">
        <v>ST021</v>
      </c>
      <c r="C187" s="19">
        <v>1462781</v>
      </c>
      <c r="D187" s="19">
        <v>1154618</v>
      </c>
      <c r="E187" s="13">
        <f>C187*(1+Assumptions!$B$12)</f>
        <v>1506664.43</v>
      </c>
      <c r="F187" s="13">
        <f>D187*(1+Assumptions!$B$12)*(1+Assumptions!$B$13)</f>
        <v>1224934.2362000002</v>
      </c>
      <c r="G187" s="14">
        <f t="shared" si="8"/>
        <v>281730.19379999978</v>
      </c>
      <c r="H187" s="15">
        <f t="shared" si="9"/>
        <v>0.18698934426957953</v>
      </c>
      <c r="I187" s="16">
        <v>17173.821600000003</v>
      </c>
      <c r="J187" s="16">
        <v>27716.579000000002</v>
      </c>
      <c r="K187" s="17">
        <f t="shared" si="10"/>
        <v>236839.79319999975</v>
      </c>
      <c r="L187" s="15">
        <f t="shared" si="11"/>
        <v>0.15719478636659642</v>
      </c>
    </row>
    <row r="188" spans="1:12" x14ac:dyDescent="0.3">
      <c r="A188" s="18" t="str">
        <v>Aug-26</v>
      </c>
      <c r="B188" s="18" t="str">
        <v>ST022</v>
      </c>
      <c r="C188" s="19">
        <v>1738755</v>
      </c>
      <c r="D188" s="19">
        <v>1382633</v>
      </c>
      <c r="E188" s="13">
        <f>C188*(1+Assumptions!$B$12)</f>
        <v>1790917.6500000001</v>
      </c>
      <c r="F188" s="13">
        <f>D188*(1+Assumptions!$B$12)*(1+Assumptions!$B$13)</f>
        <v>1466835.3497000001</v>
      </c>
      <c r="G188" s="14">
        <f t="shared" si="8"/>
        <v>324082.3003</v>
      </c>
      <c r="H188" s="15">
        <f t="shared" si="9"/>
        <v>0.18095879522992026</v>
      </c>
      <c r="I188" s="16">
        <v>17272.6944</v>
      </c>
      <c r="J188" s="16">
        <v>28421.3256</v>
      </c>
      <c r="K188" s="17">
        <f t="shared" si="10"/>
        <v>278388.28030000004</v>
      </c>
      <c r="L188" s="15">
        <f t="shared" si="11"/>
        <v>0.15544448975641065</v>
      </c>
    </row>
    <row r="189" spans="1:12" x14ac:dyDescent="0.3">
      <c r="A189" s="18" t="str">
        <v>Aug-26</v>
      </c>
      <c r="B189" s="18" t="str">
        <v>ST023</v>
      </c>
      <c r="C189" s="19">
        <v>1894135</v>
      </c>
      <c r="D189" s="19">
        <v>1464867</v>
      </c>
      <c r="E189" s="13">
        <f>C189*(1+Assumptions!$B$12)</f>
        <v>1950959.05</v>
      </c>
      <c r="F189" s="13">
        <f>D189*(1+Assumptions!$B$12)*(1+Assumptions!$B$13)</f>
        <v>1554077.4003000001</v>
      </c>
      <c r="G189" s="14">
        <f t="shared" si="8"/>
        <v>396881.64969999995</v>
      </c>
      <c r="H189" s="15">
        <f t="shared" si="9"/>
        <v>0.20342900057282082</v>
      </c>
      <c r="I189" s="16">
        <v>17283.3128</v>
      </c>
      <c r="J189" s="16">
        <v>27108.652400000003</v>
      </c>
      <c r="K189" s="17">
        <f t="shared" si="10"/>
        <v>352489.68449999992</v>
      </c>
      <c r="L189" s="15">
        <f t="shared" si="11"/>
        <v>0.18067508105821078</v>
      </c>
    </row>
    <row r="190" spans="1:12" x14ac:dyDescent="0.3">
      <c r="A190" s="18" t="str">
        <v>Aug-26</v>
      </c>
      <c r="B190" s="18" t="str">
        <v>ST024</v>
      </c>
      <c r="C190" s="19">
        <v>3517627</v>
      </c>
      <c r="D190" s="19">
        <v>2765402</v>
      </c>
      <c r="E190" s="13">
        <f>C190*(1+Assumptions!$B$12)</f>
        <v>3623155.81</v>
      </c>
      <c r="F190" s="13">
        <f>D190*(1+Assumptions!$B$12)*(1+Assumptions!$B$13)</f>
        <v>2933814.9818000002</v>
      </c>
      <c r="G190" s="14">
        <f t="shared" si="8"/>
        <v>689340.82819999987</v>
      </c>
      <c r="H190" s="15">
        <f t="shared" si="9"/>
        <v>0.19025978024389734</v>
      </c>
      <c r="I190" s="16">
        <v>16532.578399999999</v>
      </c>
      <c r="J190" s="16">
        <v>26937.476699999999</v>
      </c>
      <c r="K190" s="17">
        <f t="shared" si="10"/>
        <v>645870.77309999987</v>
      </c>
      <c r="L190" s="15">
        <f t="shared" si="11"/>
        <v>0.17826193709842136</v>
      </c>
    </row>
    <row r="191" spans="1:12" x14ac:dyDescent="0.3">
      <c r="A191" s="18" t="str">
        <v>Aug-26</v>
      </c>
      <c r="B191" s="18" t="str">
        <v>ST025</v>
      </c>
      <c r="C191" s="19">
        <v>2152258</v>
      </c>
      <c r="D191" s="19">
        <v>1683032</v>
      </c>
      <c r="E191" s="13">
        <f>C191*(1+Assumptions!$B$12)</f>
        <v>2216825.7400000002</v>
      </c>
      <c r="F191" s="13">
        <f>D191*(1+Assumptions!$B$12)*(1+Assumptions!$B$13)</f>
        <v>1785528.6488000001</v>
      </c>
      <c r="G191" s="14">
        <f t="shared" si="8"/>
        <v>431297.09120000014</v>
      </c>
      <c r="H191" s="15">
        <f t="shared" si="9"/>
        <v>0.19455615451307423</v>
      </c>
      <c r="I191" s="16">
        <v>17616.82</v>
      </c>
      <c r="J191" s="16">
        <v>26005.759300000002</v>
      </c>
      <c r="K191" s="17">
        <f t="shared" si="10"/>
        <v>387674.51190000016</v>
      </c>
      <c r="L191" s="15">
        <f t="shared" si="11"/>
        <v>0.17487820756718572</v>
      </c>
    </row>
    <row r="192" spans="1:12" x14ac:dyDescent="0.3">
      <c r="A192" s="18" t="str">
        <v>Sep-26</v>
      </c>
      <c r="B192" s="18" t="str">
        <v>ST001</v>
      </c>
      <c r="C192" s="19">
        <v>1358510</v>
      </c>
      <c r="D192" s="19">
        <v>1064356</v>
      </c>
      <c r="E192" s="13">
        <f>C192*(1+Assumptions!$B$12)</f>
        <v>1399265.3</v>
      </c>
      <c r="F192" s="13">
        <f>D192*(1+Assumptions!$B$12)*(1+Assumptions!$B$13)</f>
        <v>1129175.2804</v>
      </c>
      <c r="G192" s="14">
        <f t="shared" si="8"/>
        <v>270090.0196</v>
      </c>
      <c r="H192" s="15">
        <f t="shared" si="9"/>
        <v>0.1930227381469404</v>
      </c>
      <c r="I192" s="16">
        <v>70117.392800000016</v>
      </c>
      <c r="J192" s="16">
        <v>140716.6121</v>
      </c>
      <c r="K192" s="17">
        <f t="shared" si="10"/>
        <v>59256.014699999971</v>
      </c>
      <c r="L192" s="15">
        <f t="shared" si="11"/>
        <v>4.2347948384055527E-2</v>
      </c>
    </row>
    <row r="193" spans="1:12" x14ac:dyDescent="0.3">
      <c r="A193" s="18" t="str">
        <v>Sep-26</v>
      </c>
      <c r="B193" s="18" t="str">
        <v>ST002</v>
      </c>
      <c r="C193" s="19">
        <v>1680968</v>
      </c>
      <c r="D193" s="19">
        <v>1307336</v>
      </c>
      <c r="E193" s="13">
        <f>C193*(1+Assumptions!$B$12)</f>
        <v>1731397.04</v>
      </c>
      <c r="F193" s="13">
        <f>D193*(1+Assumptions!$B$12)*(1+Assumptions!$B$13)</f>
        <v>1386952.7624000001</v>
      </c>
      <c r="G193" s="14">
        <f t="shared" si="8"/>
        <v>344444.27759999991</v>
      </c>
      <c r="H193" s="15">
        <f t="shared" si="9"/>
        <v>0.1989400869023086</v>
      </c>
      <c r="I193" s="16">
        <v>69710.212</v>
      </c>
      <c r="J193" s="16">
        <v>142348.95610000001</v>
      </c>
      <c r="K193" s="17">
        <f t="shared" si="10"/>
        <v>132385.1094999999</v>
      </c>
      <c r="L193" s="15">
        <f t="shared" si="11"/>
        <v>7.6461439197100564E-2</v>
      </c>
    </row>
    <row r="194" spans="1:12" x14ac:dyDescent="0.3">
      <c r="A194" s="18" t="str">
        <v>Sep-26</v>
      </c>
      <c r="B194" s="18" t="str">
        <v>ST003</v>
      </c>
      <c r="C194" s="19">
        <v>1525152</v>
      </c>
      <c r="D194" s="19">
        <v>1182753</v>
      </c>
      <c r="E194" s="13">
        <f>C194*(1+Assumptions!$B$12)</f>
        <v>1570906.56</v>
      </c>
      <c r="F194" s="13">
        <f>D194*(1+Assumptions!$B$12)*(1+Assumptions!$B$13)</f>
        <v>1254782.6577000001</v>
      </c>
      <c r="G194" s="14">
        <f t="shared" si="8"/>
        <v>316123.90229999996</v>
      </c>
      <c r="H194" s="15">
        <f t="shared" si="9"/>
        <v>0.20123660461383519</v>
      </c>
      <c r="I194" s="16">
        <v>70227.830399999992</v>
      </c>
      <c r="J194" s="16">
        <v>143212.4566</v>
      </c>
      <c r="K194" s="17">
        <f t="shared" si="10"/>
        <v>102683.61529999998</v>
      </c>
      <c r="L194" s="15">
        <f t="shared" si="11"/>
        <v>6.5365832643795169E-2</v>
      </c>
    </row>
    <row r="195" spans="1:12" x14ac:dyDescent="0.3">
      <c r="A195" s="18" t="str">
        <v>Sep-26</v>
      </c>
      <c r="B195" s="18" t="str">
        <v>ST004</v>
      </c>
      <c r="C195" s="19">
        <v>1733930</v>
      </c>
      <c r="D195" s="19">
        <v>1348677</v>
      </c>
      <c r="E195" s="13">
        <f>C195*(1+Assumptions!$B$12)</f>
        <v>1785947.9000000001</v>
      </c>
      <c r="F195" s="13">
        <f>D195*(1+Assumptions!$B$12)*(1+Assumptions!$B$13)</f>
        <v>1430811.4293000002</v>
      </c>
      <c r="G195" s="14">
        <f t="shared" ref="G195:G258" si="12">E195-F195</f>
        <v>355136.47069999995</v>
      </c>
      <c r="H195" s="15">
        <f t="shared" ref="H195:H258" si="13">IFERROR(G195/E195,0)</f>
        <v>0.19885040918606858</v>
      </c>
      <c r="I195" s="16">
        <v>70154.812000000005</v>
      </c>
      <c r="J195" s="16">
        <v>126087.8517</v>
      </c>
      <c r="K195" s="17">
        <f t="shared" ref="K195:K258" si="14">E195-F195-I195-J195</f>
        <v>158893.80699999991</v>
      </c>
      <c r="L195" s="15">
        <f t="shared" ref="L195:L258" si="15">IFERROR(K195/E195,0)</f>
        <v>8.8968892653587428E-2</v>
      </c>
    </row>
    <row r="196" spans="1:12" x14ac:dyDescent="0.3">
      <c r="A196" s="18" t="str">
        <v>Sep-26</v>
      </c>
      <c r="B196" s="18" t="str">
        <v>ST005</v>
      </c>
      <c r="C196" s="19">
        <v>1624274</v>
      </c>
      <c r="D196" s="19">
        <v>1264273</v>
      </c>
      <c r="E196" s="13">
        <f>C196*(1+Assumptions!$B$12)</f>
        <v>1673002.22</v>
      </c>
      <c r="F196" s="13">
        <f>D196*(1+Assumptions!$B$12)*(1+Assumptions!$B$13)</f>
        <v>1341267.2257000001</v>
      </c>
      <c r="G196" s="14">
        <f t="shared" si="12"/>
        <v>331734.9942999999</v>
      </c>
      <c r="H196" s="15">
        <f t="shared" si="13"/>
        <v>0.19828724094580097</v>
      </c>
      <c r="I196" s="16">
        <v>70829.262400000007</v>
      </c>
      <c r="J196" s="16">
        <v>123340.955</v>
      </c>
      <c r="K196" s="17">
        <f t="shared" si="14"/>
        <v>137564.77689999988</v>
      </c>
      <c r="L196" s="15">
        <f t="shared" si="15"/>
        <v>8.2226296687161526E-2</v>
      </c>
    </row>
    <row r="197" spans="1:12" x14ac:dyDescent="0.3">
      <c r="A197" s="18" t="str">
        <v>Sep-26</v>
      </c>
      <c r="B197" s="18" t="str">
        <v>ST006</v>
      </c>
      <c r="C197" s="19">
        <v>1578599</v>
      </c>
      <c r="D197" s="19">
        <v>1265124</v>
      </c>
      <c r="E197" s="13">
        <f>C197*(1+Assumptions!$B$12)</f>
        <v>1625956.97</v>
      </c>
      <c r="F197" s="13">
        <f>D197*(1+Assumptions!$B$12)*(1+Assumptions!$B$13)</f>
        <v>1342170.0515999999</v>
      </c>
      <c r="G197" s="14">
        <f t="shared" si="12"/>
        <v>283786.91840000008</v>
      </c>
      <c r="H197" s="15">
        <f t="shared" si="13"/>
        <v>0.17453531897587676</v>
      </c>
      <c r="I197" s="16">
        <v>70054.015200000009</v>
      </c>
      <c r="J197" s="16">
        <v>130485.5294</v>
      </c>
      <c r="K197" s="17">
        <f t="shared" si="14"/>
        <v>83247.373800000059</v>
      </c>
      <c r="L197" s="15">
        <f t="shared" si="15"/>
        <v>5.1199001779241464E-2</v>
      </c>
    </row>
    <row r="198" spans="1:12" x14ac:dyDescent="0.3">
      <c r="A198" s="18" t="str">
        <v>Sep-26</v>
      </c>
      <c r="B198" s="18" t="str">
        <v>ST007</v>
      </c>
      <c r="C198" s="19">
        <v>1586082</v>
      </c>
      <c r="D198" s="19">
        <v>1262933</v>
      </c>
      <c r="E198" s="13">
        <f>C198*(1+Assumptions!$B$12)</f>
        <v>1633664.46</v>
      </c>
      <c r="F198" s="13">
        <f>D198*(1+Assumptions!$B$12)*(1+Assumptions!$B$13)</f>
        <v>1339845.6196999999</v>
      </c>
      <c r="G198" s="14">
        <f t="shared" si="12"/>
        <v>293818.84030000004</v>
      </c>
      <c r="H198" s="15">
        <f t="shared" si="13"/>
        <v>0.17985262426532805</v>
      </c>
      <c r="I198" s="16">
        <v>69873.564799999993</v>
      </c>
      <c r="J198" s="16">
        <v>134473.1023</v>
      </c>
      <c r="K198" s="17">
        <f t="shared" si="14"/>
        <v>89472.173200000048</v>
      </c>
      <c r="L198" s="15">
        <f t="shared" si="15"/>
        <v>5.4767778445764838E-2</v>
      </c>
    </row>
    <row r="199" spans="1:12" x14ac:dyDescent="0.3">
      <c r="A199" s="18" t="str">
        <v>Sep-26</v>
      </c>
      <c r="B199" s="18" t="str">
        <v>ST008</v>
      </c>
      <c r="C199" s="19">
        <v>1475540</v>
      </c>
      <c r="D199" s="19">
        <v>1204287</v>
      </c>
      <c r="E199" s="13">
        <f>C199*(1+Assumptions!$B$12)</f>
        <v>1519806.2</v>
      </c>
      <c r="F199" s="13">
        <f>D199*(1+Assumptions!$B$12)*(1+Assumptions!$B$13)</f>
        <v>1277628.0783000002</v>
      </c>
      <c r="G199" s="14">
        <f t="shared" si="12"/>
        <v>242178.12169999979</v>
      </c>
      <c r="H199" s="15">
        <f t="shared" si="13"/>
        <v>0.15934802851837279</v>
      </c>
      <c r="I199" s="16">
        <v>72220.564000000013</v>
      </c>
      <c r="J199" s="16">
        <v>120352.7602</v>
      </c>
      <c r="K199" s="17">
        <f t="shared" si="14"/>
        <v>49604.797499999768</v>
      </c>
      <c r="L199" s="15">
        <f t="shared" si="15"/>
        <v>3.2638896656692E-2</v>
      </c>
    </row>
    <row r="200" spans="1:12" x14ac:dyDescent="0.3">
      <c r="A200" s="18" t="str">
        <v>Sep-26</v>
      </c>
      <c r="B200" s="18" t="str">
        <v>ST009</v>
      </c>
      <c r="C200" s="19">
        <v>1501115</v>
      </c>
      <c r="D200" s="19">
        <v>1183912</v>
      </c>
      <c r="E200" s="13">
        <f>C200*(1+Assumptions!$B$12)</f>
        <v>1546148.45</v>
      </c>
      <c r="F200" s="13">
        <f>D200*(1+Assumptions!$B$12)*(1+Assumptions!$B$13)</f>
        <v>1256012.2408</v>
      </c>
      <c r="G200" s="14">
        <f t="shared" si="12"/>
        <v>290136.20919999992</v>
      </c>
      <c r="H200" s="15">
        <f t="shared" si="13"/>
        <v>0.1876509394683285</v>
      </c>
      <c r="I200" s="16">
        <v>68758.601599999995</v>
      </c>
      <c r="J200" s="16">
        <v>113893.29029999999</v>
      </c>
      <c r="K200" s="17">
        <f t="shared" si="14"/>
        <v>107484.31729999994</v>
      </c>
      <c r="L200" s="15">
        <f t="shared" si="15"/>
        <v>6.9517462763682189E-2</v>
      </c>
    </row>
    <row r="201" spans="1:12" x14ac:dyDescent="0.3">
      <c r="A201" s="18" t="str">
        <v>Sep-26</v>
      </c>
      <c r="B201" s="18" t="str">
        <v>ST010</v>
      </c>
      <c r="C201" s="19">
        <v>1358496</v>
      </c>
      <c r="D201" s="19">
        <v>1058748</v>
      </c>
      <c r="E201" s="13">
        <f>C201*(1+Assumptions!$B$12)</f>
        <v>1399250.8800000001</v>
      </c>
      <c r="F201" s="13">
        <f>D201*(1+Assumptions!$B$12)*(1+Assumptions!$B$13)</f>
        <v>1123225.7531999999</v>
      </c>
      <c r="G201" s="14">
        <f t="shared" si="12"/>
        <v>276025.1268000002</v>
      </c>
      <c r="H201" s="15">
        <f t="shared" si="13"/>
        <v>0.1972663592678964</v>
      </c>
      <c r="I201" s="16">
        <v>67478.403200000001</v>
      </c>
      <c r="J201" s="16">
        <v>119585.0497</v>
      </c>
      <c r="K201" s="17">
        <f t="shared" si="14"/>
        <v>88961.673900000198</v>
      </c>
      <c r="L201" s="15">
        <f t="shared" si="15"/>
        <v>6.357807250405316E-2</v>
      </c>
    </row>
    <row r="202" spans="1:12" x14ac:dyDescent="0.3">
      <c r="A202" s="18" t="str">
        <v>Sep-26</v>
      </c>
      <c r="B202" s="18" t="str">
        <v>ST011</v>
      </c>
      <c r="C202" s="19">
        <v>1571663</v>
      </c>
      <c r="D202" s="19">
        <v>1224849</v>
      </c>
      <c r="E202" s="13">
        <f>C202*(1+Assumptions!$B$12)</f>
        <v>1618812.8900000001</v>
      </c>
      <c r="F202" s="13">
        <f>D202*(1+Assumptions!$B$12)*(1+Assumptions!$B$13)</f>
        <v>1299442.3041000001</v>
      </c>
      <c r="G202" s="14">
        <f t="shared" si="12"/>
        <v>319370.58590000006</v>
      </c>
      <c r="H202" s="15">
        <f t="shared" si="13"/>
        <v>0.19728690565343845</v>
      </c>
      <c r="I202" s="16">
        <v>69510.760800000004</v>
      </c>
      <c r="J202" s="16">
        <v>122755.3382</v>
      </c>
      <c r="K202" s="17">
        <f t="shared" si="14"/>
        <v>127104.48690000008</v>
      </c>
      <c r="L202" s="15">
        <f t="shared" si="15"/>
        <v>7.8517095882526644E-2</v>
      </c>
    </row>
    <row r="203" spans="1:12" x14ac:dyDescent="0.3">
      <c r="A203" s="18" t="str">
        <v>Sep-26</v>
      </c>
      <c r="B203" s="18" t="str">
        <v>ST012</v>
      </c>
      <c r="C203" s="19">
        <v>1462313</v>
      </c>
      <c r="D203" s="19">
        <v>1167080</v>
      </c>
      <c r="E203" s="13">
        <f>C203*(1+Assumptions!$B$12)</f>
        <v>1506182.3900000001</v>
      </c>
      <c r="F203" s="13">
        <f>D203*(1+Assumptions!$B$12)*(1+Assumptions!$B$13)</f>
        <v>1238155.1720000003</v>
      </c>
      <c r="G203" s="14">
        <f t="shared" si="12"/>
        <v>268027.21799999988</v>
      </c>
      <c r="H203" s="15">
        <f t="shared" si="13"/>
        <v>0.17795136882459492</v>
      </c>
      <c r="I203" s="16">
        <v>71318.062399999995</v>
      </c>
      <c r="J203" s="16">
        <v>130140.29400000001</v>
      </c>
      <c r="K203" s="17">
        <f t="shared" si="14"/>
        <v>66568.861599999873</v>
      </c>
      <c r="L203" s="15">
        <f t="shared" si="15"/>
        <v>4.4197078681818783E-2</v>
      </c>
    </row>
    <row r="204" spans="1:12" x14ac:dyDescent="0.3">
      <c r="A204" s="18" t="str">
        <v>Sep-26</v>
      </c>
      <c r="B204" s="18" t="str">
        <v>ST013</v>
      </c>
      <c r="C204" s="19">
        <v>1490334</v>
      </c>
      <c r="D204" s="19">
        <v>1179269</v>
      </c>
      <c r="E204" s="13">
        <f>C204*(1+Assumptions!$B$12)</f>
        <v>1535044.02</v>
      </c>
      <c r="F204" s="13">
        <f>D204*(1+Assumptions!$B$12)*(1+Assumptions!$B$13)</f>
        <v>1251086.4821000001</v>
      </c>
      <c r="G204" s="14">
        <f t="shared" si="12"/>
        <v>283957.53789999988</v>
      </c>
      <c r="H204" s="15">
        <f t="shared" si="13"/>
        <v>0.18498331917543306</v>
      </c>
      <c r="I204" s="16">
        <v>70633.336800000005</v>
      </c>
      <c r="J204" s="16">
        <v>118853.0493</v>
      </c>
      <c r="K204" s="17">
        <f t="shared" si="14"/>
        <v>94471.15179999989</v>
      </c>
      <c r="L204" s="15">
        <f t="shared" si="15"/>
        <v>6.154295939995251E-2</v>
      </c>
    </row>
    <row r="205" spans="1:12" x14ac:dyDescent="0.3">
      <c r="A205" s="18" t="str">
        <v>Sep-26</v>
      </c>
      <c r="B205" s="18" t="str">
        <v>ST014</v>
      </c>
      <c r="C205" s="19">
        <v>1640360</v>
      </c>
      <c r="D205" s="19">
        <v>1287698</v>
      </c>
      <c r="E205" s="13">
        <f>C205*(1+Assumptions!$B$12)</f>
        <v>1689570.8</v>
      </c>
      <c r="F205" s="13">
        <f>D205*(1+Assumptions!$B$12)*(1+Assumptions!$B$13)</f>
        <v>1366118.8082000001</v>
      </c>
      <c r="G205" s="14">
        <f t="shared" si="12"/>
        <v>323451.99179999996</v>
      </c>
      <c r="H205" s="15">
        <f t="shared" si="13"/>
        <v>0.19144033017142575</v>
      </c>
      <c r="I205" s="16">
        <v>67406.320800000001</v>
      </c>
      <c r="J205" s="16">
        <v>137614.7156</v>
      </c>
      <c r="K205" s="17">
        <f t="shared" si="14"/>
        <v>118430.95539999998</v>
      </c>
      <c r="L205" s="15">
        <f t="shared" si="15"/>
        <v>7.0095290117466499E-2</v>
      </c>
    </row>
    <row r="206" spans="1:12" x14ac:dyDescent="0.3">
      <c r="A206" s="18" t="str">
        <v>Sep-26</v>
      </c>
      <c r="B206" s="18" t="str">
        <v>ST015</v>
      </c>
      <c r="C206" s="19">
        <v>1514031</v>
      </c>
      <c r="D206" s="19">
        <v>1223123</v>
      </c>
      <c r="E206" s="13">
        <f>C206*(1+Assumptions!$B$12)</f>
        <v>1559451.93</v>
      </c>
      <c r="F206" s="13">
        <f>D206*(1+Assumptions!$B$12)*(1+Assumptions!$B$13)</f>
        <v>1297611.1906999999</v>
      </c>
      <c r="G206" s="14">
        <f t="shared" si="12"/>
        <v>261840.73930000002</v>
      </c>
      <c r="H206" s="15">
        <f t="shared" si="13"/>
        <v>0.16790561752038105</v>
      </c>
      <c r="I206" s="16">
        <v>71320.86</v>
      </c>
      <c r="J206" s="16">
        <v>127599.45910000001</v>
      </c>
      <c r="K206" s="17">
        <f t="shared" si="14"/>
        <v>62920.420200000022</v>
      </c>
      <c r="L206" s="15">
        <f t="shared" si="15"/>
        <v>4.0347777952988925E-2</v>
      </c>
    </row>
    <row r="207" spans="1:12" x14ac:dyDescent="0.3">
      <c r="A207" s="18" t="str">
        <v>Sep-26</v>
      </c>
      <c r="B207" s="18" t="str">
        <v>ST016</v>
      </c>
      <c r="C207" s="19">
        <v>1466336</v>
      </c>
      <c r="D207" s="19">
        <v>1125673</v>
      </c>
      <c r="E207" s="13">
        <f>C207*(1+Assumptions!$B$12)</f>
        <v>1510326.08</v>
      </c>
      <c r="F207" s="13">
        <f>D207*(1+Assumptions!$B$12)*(1+Assumptions!$B$13)</f>
        <v>1194226.4857000001</v>
      </c>
      <c r="G207" s="14">
        <f t="shared" si="12"/>
        <v>316099.5943</v>
      </c>
      <c r="H207" s="15">
        <f t="shared" si="13"/>
        <v>0.20929228362394431</v>
      </c>
      <c r="I207" s="16">
        <v>68130.337599999999</v>
      </c>
      <c r="J207" s="16">
        <v>120831.72050000001</v>
      </c>
      <c r="K207" s="17">
        <f t="shared" si="14"/>
        <v>127137.53619999999</v>
      </c>
      <c r="L207" s="15">
        <f t="shared" si="15"/>
        <v>8.4178865665883215E-2</v>
      </c>
    </row>
    <row r="208" spans="1:12" x14ac:dyDescent="0.3">
      <c r="A208" s="18" t="str">
        <v>Sep-26</v>
      </c>
      <c r="B208" s="18" t="str">
        <v>ST017</v>
      </c>
      <c r="C208" s="19">
        <v>1506899</v>
      </c>
      <c r="D208" s="19">
        <v>1179964</v>
      </c>
      <c r="E208" s="13">
        <f>C208*(1+Assumptions!$B$12)</f>
        <v>1552105.97</v>
      </c>
      <c r="F208" s="13">
        <f>D208*(1+Assumptions!$B$12)*(1+Assumptions!$B$13)</f>
        <v>1251823.8075999999</v>
      </c>
      <c r="G208" s="14">
        <f t="shared" si="12"/>
        <v>300282.16240000003</v>
      </c>
      <c r="H208" s="15">
        <f t="shared" si="13"/>
        <v>0.19346756484674821</v>
      </c>
      <c r="I208" s="16">
        <v>71062.513600000006</v>
      </c>
      <c r="J208" s="16">
        <v>133258.50570000001</v>
      </c>
      <c r="K208" s="17">
        <f t="shared" si="14"/>
        <v>95961.143100000016</v>
      </c>
      <c r="L208" s="15">
        <f t="shared" si="15"/>
        <v>6.1826411955621829E-2</v>
      </c>
    </row>
    <row r="209" spans="1:12" x14ac:dyDescent="0.3">
      <c r="A209" s="18" t="str">
        <v>Sep-26</v>
      </c>
      <c r="B209" s="18" t="str">
        <v>ST018</v>
      </c>
      <c r="C209" s="19">
        <v>1603321</v>
      </c>
      <c r="D209" s="19">
        <v>1280491</v>
      </c>
      <c r="E209" s="13">
        <f>C209*(1+Assumptions!$B$12)</f>
        <v>1651420.6300000001</v>
      </c>
      <c r="F209" s="13">
        <f>D209*(1+Assumptions!$B$12)*(1+Assumptions!$B$13)</f>
        <v>1358472.9018999999</v>
      </c>
      <c r="G209" s="14">
        <f t="shared" si="12"/>
        <v>292947.72810000018</v>
      </c>
      <c r="H209" s="15">
        <f t="shared" si="13"/>
        <v>0.17739134583779553</v>
      </c>
      <c r="I209" s="16">
        <v>69723.149600000004</v>
      </c>
      <c r="J209" s="16">
        <v>131829.84419999999</v>
      </c>
      <c r="K209" s="17">
        <f t="shared" si="14"/>
        <v>91394.734300000186</v>
      </c>
      <c r="L209" s="15">
        <f t="shared" si="15"/>
        <v>5.5343098323774834E-2</v>
      </c>
    </row>
    <row r="210" spans="1:12" x14ac:dyDescent="0.3">
      <c r="A210" s="18" t="str">
        <v>Sep-26</v>
      </c>
      <c r="B210" s="18" t="str">
        <v>ST019</v>
      </c>
      <c r="C210" s="19">
        <v>1574813</v>
      </c>
      <c r="D210" s="19">
        <v>1232366</v>
      </c>
      <c r="E210" s="13">
        <f>C210*(1+Assumptions!$B$12)</f>
        <v>1622057.3900000001</v>
      </c>
      <c r="F210" s="13">
        <f>D210*(1+Assumptions!$B$12)*(1+Assumptions!$B$13)</f>
        <v>1307417.0893999999</v>
      </c>
      <c r="G210" s="14">
        <f t="shared" si="12"/>
        <v>314640.30060000019</v>
      </c>
      <c r="H210" s="15">
        <f t="shared" si="13"/>
        <v>0.19397605937974868</v>
      </c>
      <c r="I210" s="16">
        <v>16417.8976</v>
      </c>
      <c r="J210" s="16">
        <v>30363.689300000002</v>
      </c>
      <c r="K210" s="17">
        <f t="shared" si="14"/>
        <v>267858.71370000014</v>
      </c>
      <c r="L210" s="15">
        <f t="shared" si="15"/>
        <v>0.16513516436061496</v>
      </c>
    </row>
    <row r="211" spans="1:12" x14ac:dyDescent="0.3">
      <c r="A211" s="18" t="str">
        <v>Sep-26</v>
      </c>
      <c r="B211" s="18" t="str">
        <v>ST020</v>
      </c>
      <c r="C211" s="19">
        <v>1741442</v>
      </c>
      <c r="D211" s="19">
        <v>1334232</v>
      </c>
      <c r="E211" s="13">
        <f>C211*(1+Assumptions!$B$12)</f>
        <v>1793685.26</v>
      </c>
      <c r="F211" s="13">
        <f>D211*(1+Assumptions!$B$12)*(1+Assumptions!$B$13)</f>
        <v>1415486.7287999999</v>
      </c>
      <c r="G211" s="14">
        <f t="shared" si="12"/>
        <v>378198.53120000008</v>
      </c>
      <c r="H211" s="15">
        <f t="shared" si="13"/>
        <v>0.21084999672685056</v>
      </c>
      <c r="I211" s="16">
        <v>16252.9328</v>
      </c>
      <c r="J211" s="16">
        <v>26995.702600000001</v>
      </c>
      <c r="K211" s="17">
        <f t="shared" si="14"/>
        <v>334949.89580000006</v>
      </c>
      <c r="L211" s="15">
        <f t="shared" si="15"/>
        <v>0.18673838898581352</v>
      </c>
    </row>
    <row r="212" spans="1:12" x14ac:dyDescent="0.3">
      <c r="A212" s="18" t="str">
        <v>Sep-26</v>
      </c>
      <c r="B212" s="18" t="str">
        <v>ST021</v>
      </c>
      <c r="C212" s="19">
        <v>1505001</v>
      </c>
      <c r="D212" s="19">
        <v>1184348</v>
      </c>
      <c r="E212" s="13">
        <f>C212*(1+Assumptions!$B$12)</f>
        <v>1550151.03</v>
      </c>
      <c r="F212" s="13">
        <f>D212*(1+Assumptions!$B$12)*(1+Assumptions!$B$13)</f>
        <v>1256474.7932</v>
      </c>
      <c r="G212" s="14">
        <f t="shared" si="12"/>
        <v>293676.23680000007</v>
      </c>
      <c r="H212" s="15">
        <f t="shared" si="13"/>
        <v>0.18945008009961459</v>
      </c>
      <c r="I212" s="16">
        <v>16252.5064</v>
      </c>
      <c r="J212" s="16">
        <v>27459.511600000002</v>
      </c>
      <c r="K212" s="17">
        <f t="shared" si="14"/>
        <v>249964.21880000006</v>
      </c>
      <c r="L212" s="15">
        <f t="shared" si="15"/>
        <v>0.16125152579487695</v>
      </c>
    </row>
    <row r="213" spans="1:12" x14ac:dyDescent="0.3">
      <c r="A213" s="18" t="str">
        <v>Sep-26</v>
      </c>
      <c r="B213" s="18" t="str">
        <v>ST022</v>
      </c>
      <c r="C213" s="19">
        <v>1547358</v>
      </c>
      <c r="D213" s="19">
        <v>1220699</v>
      </c>
      <c r="E213" s="13">
        <f>C213*(1+Assumptions!$B$12)</f>
        <v>1593778.74</v>
      </c>
      <c r="F213" s="13">
        <f>D213*(1+Assumptions!$B$12)*(1+Assumptions!$B$13)</f>
        <v>1295039.5691</v>
      </c>
      <c r="G213" s="14">
        <f t="shared" si="12"/>
        <v>298739.17090000003</v>
      </c>
      <c r="H213" s="15">
        <f t="shared" si="13"/>
        <v>0.1874408055537245</v>
      </c>
      <c r="I213" s="16">
        <v>15862.2984</v>
      </c>
      <c r="J213" s="16">
        <v>31070.2281</v>
      </c>
      <c r="K213" s="17">
        <f t="shared" si="14"/>
        <v>251806.64440000005</v>
      </c>
      <c r="L213" s="15">
        <f t="shared" si="15"/>
        <v>0.15799347681096565</v>
      </c>
    </row>
    <row r="214" spans="1:12" x14ac:dyDescent="0.3">
      <c r="A214" s="18" t="str">
        <v>Sep-26</v>
      </c>
      <c r="B214" s="18" t="str">
        <v>ST023</v>
      </c>
      <c r="C214" s="19">
        <v>1643118</v>
      </c>
      <c r="D214" s="19">
        <v>1288046</v>
      </c>
      <c r="E214" s="13">
        <f>C214*(1+Assumptions!$B$12)</f>
        <v>1692411.54</v>
      </c>
      <c r="F214" s="13">
        <f>D214*(1+Assumptions!$B$12)*(1+Assumptions!$B$13)</f>
        <v>1366488.0014000002</v>
      </c>
      <c r="G214" s="14">
        <f t="shared" si="12"/>
        <v>325923.53859999985</v>
      </c>
      <c r="H214" s="15">
        <f t="shared" si="13"/>
        <v>0.19257936435484235</v>
      </c>
      <c r="I214" s="16">
        <v>16683.784</v>
      </c>
      <c r="J214" s="16">
        <v>31627.797999999999</v>
      </c>
      <c r="K214" s="17">
        <f t="shared" si="14"/>
        <v>277611.95659999986</v>
      </c>
      <c r="L214" s="15">
        <f t="shared" si="15"/>
        <v>0.1640333630672359</v>
      </c>
    </row>
    <row r="215" spans="1:12" x14ac:dyDescent="0.3">
      <c r="A215" s="18" t="str">
        <v>Sep-26</v>
      </c>
      <c r="B215" s="18" t="str">
        <v>ST024</v>
      </c>
      <c r="C215" s="19">
        <v>3142716</v>
      </c>
      <c r="D215" s="19">
        <v>2479741</v>
      </c>
      <c r="E215" s="13">
        <f>C215*(1+Assumptions!$B$12)</f>
        <v>3236997.48</v>
      </c>
      <c r="F215" s="13">
        <f>D215*(1+Assumptions!$B$12)*(1+Assumptions!$B$13)</f>
        <v>2630757.2269000001</v>
      </c>
      <c r="G215" s="14">
        <f t="shared" si="12"/>
        <v>606240.25309999986</v>
      </c>
      <c r="H215" s="15">
        <f t="shared" si="13"/>
        <v>0.18728474669680617</v>
      </c>
      <c r="I215" s="16">
        <v>15711.54</v>
      </c>
      <c r="J215" s="16">
        <v>25697.665699999998</v>
      </c>
      <c r="K215" s="17">
        <f t="shared" si="14"/>
        <v>564831.04739999981</v>
      </c>
      <c r="L215" s="15">
        <f t="shared" si="15"/>
        <v>0.17449227282067573</v>
      </c>
    </row>
    <row r="216" spans="1:12" x14ac:dyDescent="0.3">
      <c r="A216" s="18" t="str">
        <v>Sep-26</v>
      </c>
      <c r="B216" s="18" t="str">
        <v>ST025</v>
      </c>
      <c r="C216" s="19">
        <v>1826333</v>
      </c>
      <c r="D216" s="19">
        <v>1441502</v>
      </c>
      <c r="E216" s="13">
        <f>C216*(1+Assumptions!$B$12)</f>
        <v>1881122.99</v>
      </c>
      <c r="F216" s="13">
        <f>D216*(1+Assumptions!$B$12)*(1+Assumptions!$B$13)</f>
        <v>1529289.4718000002</v>
      </c>
      <c r="G216" s="14">
        <f t="shared" si="12"/>
        <v>351833.51819999982</v>
      </c>
      <c r="H216" s="15">
        <f t="shared" si="13"/>
        <v>0.18703376656940429</v>
      </c>
      <c r="I216" s="16">
        <v>16617.848000000002</v>
      </c>
      <c r="J216" s="16">
        <v>30214.462900000002</v>
      </c>
      <c r="K216" s="17">
        <f t="shared" si="14"/>
        <v>305001.20729999983</v>
      </c>
      <c r="L216" s="15">
        <f t="shared" si="15"/>
        <v>0.16213783411365348</v>
      </c>
    </row>
    <row r="217" spans="1:12" x14ac:dyDescent="0.3">
      <c r="A217" s="18" t="str">
        <v>Oct-26</v>
      </c>
      <c r="B217" s="18" t="str">
        <v>ST001</v>
      </c>
      <c r="C217" s="19">
        <v>1610739</v>
      </c>
      <c r="D217" s="19">
        <v>1256567</v>
      </c>
      <c r="E217" s="13">
        <f>C217*(1+Assumptions!$B$12)</f>
        <v>1659061.1700000002</v>
      </c>
      <c r="F217" s="13">
        <f>D217*(1+Assumptions!$B$12)*(1+Assumptions!$B$13)</f>
        <v>1333091.9303000001</v>
      </c>
      <c r="G217" s="14">
        <f t="shared" si="12"/>
        <v>325969.23970000003</v>
      </c>
      <c r="H217" s="15">
        <f t="shared" si="13"/>
        <v>0.19647813208719725</v>
      </c>
      <c r="I217" s="16">
        <v>71185.025600000008</v>
      </c>
      <c r="J217" s="16">
        <v>132133.62210000001</v>
      </c>
      <c r="K217" s="17">
        <f t="shared" si="14"/>
        <v>122650.59200000003</v>
      </c>
      <c r="L217" s="15">
        <f t="shared" si="15"/>
        <v>7.3927709368304978E-2</v>
      </c>
    </row>
    <row r="218" spans="1:12" x14ac:dyDescent="0.3">
      <c r="A218" s="18" t="str">
        <v>Oct-26</v>
      </c>
      <c r="B218" s="18" t="str">
        <v>ST002</v>
      </c>
      <c r="C218" s="19">
        <v>1629779</v>
      </c>
      <c r="D218" s="19">
        <v>1262882</v>
      </c>
      <c r="E218" s="13">
        <f>C218*(1+Assumptions!$B$12)</f>
        <v>1678672.37</v>
      </c>
      <c r="F218" s="13">
        <f>D218*(1+Assumptions!$B$12)*(1+Assumptions!$B$13)</f>
        <v>1339791.5138000001</v>
      </c>
      <c r="G218" s="14">
        <f t="shared" si="12"/>
        <v>338880.85620000004</v>
      </c>
      <c r="H218" s="15">
        <f t="shared" si="13"/>
        <v>0.20187432774627725</v>
      </c>
      <c r="I218" s="16">
        <v>70674.905599999998</v>
      </c>
      <c r="J218" s="16">
        <v>130694.4134</v>
      </c>
      <c r="K218" s="17">
        <f t="shared" si="14"/>
        <v>137511.53720000002</v>
      </c>
      <c r="L218" s="15">
        <f t="shared" si="15"/>
        <v>8.1916840747191189E-2</v>
      </c>
    </row>
    <row r="219" spans="1:12" x14ac:dyDescent="0.3">
      <c r="A219" s="18" t="str">
        <v>Oct-26</v>
      </c>
      <c r="B219" s="18" t="str">
        <v>ST003</v>
      </c>
      <c r="C219" s="19">
        <v>1593926</v>
      </c>
      <c r="D219" s="19">
        <v>1241805</v>
      </c>
      <c r="E219" s="13">
        <f>C219*(1+Assumptions!$B$12)</f>
        <v>1641743.78</v>
      </c>
      <c r="F219" s="13">
        <f>D219*(1+Assumptions!$B$12)*(1+Assumptions!$B$13)</f>
        <v>1317430.9245000002</v>
      </c>
      <c r="G219" s="14">
        <f t="shared" si="12"/>
        <v>324312.85549999983</v>
      </c>
      <c r="H219" s="15">
        <f t="shared" si="13"/>
        <v>0.19754169892454218</v>
      </c>
      <c r="I219" s="16">
        <v>71201.031199999998</v>
      </c>
      <c r="J219" s="16">
        <v>138705.98000000001</v>
      </c>
      <c r="K219" s="17">
        <f t="shared" si="14"/>
        <v>114405.84429999982</v>
      </c>
      <c r="L219" s="15">
        <f t="shared" si="15"/>
        <v>6.9685565856080059E-2</v>
      </c>
    </row>
    <row r="220" spans="1:12" x14ac:dyDescent="0.3">
      <c r="A220" s="18" t="str">
        <v>Oct-26</v>
      </c>
      <c r="B220" s="18" t="str">
        <v>ST004</v>
      </c>
      <c r="C220" s="19">
        <v>1524631</v>
      </c>
      <c r="D220" s="19">
        <v>1200505</v>
      </c>
      <c r="E220" s="13">
        <f>C220*(1+Assumptions!$B$12)</f>
        <v>1570369.93</v>
      </c>
      <c r="F220" s="13">
        <f>D220*(1+Assumptions!$B$12)*(1+Assumptions!$B$13)</f>
        <v>1273615.7545000003</v>
      </c>
      <c r="G220" s="14">
        <f t="shared" si="12"/>
        <v>296754.17549999966</v>
      </c>
      <c r="H220" s="15">
        <f t="shared" si="13"/>
        <v>0.18897087229631279</v>
      </c>
      <c r="I220" s="16">
        <v>73231.953599999993</v>
      </c>
      <c r="J220" s="16">
        <v>119017.8287</v>
      </c>
      <c r="K220" s="17">
        <f t="shared" si="14"/>
        <v>104504.39319999966</v>
      </c>
      <c r="L220" s="15">
        <f t="shared" si="15"/>
        <v>6.6547627538945331E-2</v>
      </c>
    </row>
    <row r="221" spans="1:12" x14ac:dyDescent="0.3">
      <c r="A221" s="18" t="str">
        <v>Oct-26</v>
      </c>
      <c r="B221" s="18" t="str">
        <v>ST005</v>
      </c>
      <c r="C221" s="19">
        <v>1785680</v>
      </c>
      <c r="D221" s="19">
        <v>1393581</v>
      </c>
      <c r="E221" s="13">
        <f>C221*(1+Assumptions!$B$12)</f>
        <v>1839250.4000000001</v>
      </c>
      <c r="F221" s="13">
        <f>D221*(1+Assumptions!$B$12)*(1+Assumptions!$B$13)</f>
        <v>1478450.0829</v>
      </c>
      <c r="G221" s="14">
        <f t="shared" si="12"/>
        <v>360800.3171000001</v>
      </c>
      <c r="H221" s="15">
        <f t="shared" si="13"/>
        <v>0.19616704560727571</v>
      </c>
      <c r="I221" s="16">
        <v>72770.672000000006</v>
      </c>
      <c r="J221" s="16">
        <v>123162.1161</v>
      </c>
      <c r="K221" s="17">
        <f t="shared" si="14"/>
        <v>164867.5290000001</v>
      </c>
      <c r="L221" s="15">
        <f t="shared" si="15"/>
        <v>8.9638435854084944E-2</v>
      </c>
    </row>
    <row r="222" spans="1:12" x14ac:dyDescent="0.3">
      <c r="A222" s="18" t="str">
        <v>Oct-26</v>
      </c>
      <c r="B222" s="18" t="str">
        <v>ST006</v>
      </c>
      <c r="C222" s="19">
        <v>1562195</v>
      </c>
      <c r="D222" s="19">
        <v>1216176</v>
      </c>
      <c r="E222" s="13">
        <f>C222*(1+Assumptions!$B$12)</f>
        <v>1609060.85</v>
      </c>
      <c r="F222" s="13">
        <f>D222*(1+Assumptions!$B$12)*(1+Assumptions!$B$13)</f>
        <v>1290241.1184</v>
      </c>
      <c r="G222" s="14">
        <f t="shared" si="12"/>
        <v>318819.73160000006</v>
      </c>
      <c r="H222" s="15">
        <f t="shared" si="13"/>
        <v>0.19814025777831834</v>
      </c>
      <c r="I222" s="16">
        <v>72161.408800000005</v>
      </c>
      <c r="J222" s="16">
        <v>116392.266</v>
      </c>
      <c r="K222" s="17">
        <f t="shared" si="14"/>
        <v>130266.05680000005</v>
      </c>
      <c r="L222" s="15">
        <f t="shared" si="15"/>
        <v>8.0957818841966137E-2</v>
      </c>
    </row>
    <row r="223" spans="1:12" x14ac:dyDescent="0.3">
      <c r="A223" s="18" t="str">
        <v>Oct-26</v>
      </c>
      <c r="B223" s="18" t="str">
        <v>ST007</v>
      </c>
      <c r="C223" s="19">
        <v>1669166</v>
      </c>
      <c r="D223" s="19">
        <v>1280628</v>
      </c>
      <c r="E223" s="13">
        <f>C223*(1+Assumptions!$B$12)</f>
        <v>1719240.98</v>
      </c>
      <c r="F223" s="13">
        <f>D223*(1+Assumptions!$B$12)*(1+Assumptions!$B$13)</f>
        <v>1358618.2452000002</v>
      </c>
      <c r="G223" s="14">
        <f t="shared" si="12"/>
        <v>360622.73479999974</v>
      </c>
      <c r="H223" s="15">
        <f t="shared" si="13"/>
        <v>0.20975694448604856</v>
      </c>
      <c r="I223" s="16">
        <v>73000.855200000005</v>
      </c>
      <c r="J223" s="16">
        <v>137624.72719999999</v>
      </c>
      <c r="K223" s="17">
        <f t="shared" si="14"/>
        <v>149997.15239999976</v>
      </c>
      <c r="L223" s="15">
        <f t="shared" si="15"/>
        <v>8.7246147657555118E-2</v>
      </c>
    </row>
    <row r="224" spans="1:12" x14ac:dyDescent="0.3">
      <c r="A224" s="18" t="str">
        <v>Oct-26</v>
      </c>
      <c r="B224" s="18" t="str">
        <v>ST008</v>
      </c>
      <c r="C224" s="19">
        <v>1696266</v>
      </c>
      <c r="D224" s="19">
        <v>1330911</v>
      </c>
      <c r="E224" s="13">
        <f>C224*(1+Assumptions!$B$12)</f>
        <v>1747153.98</v>
      </c>
      <c r="F224" s="13">
        <f>D224*(1+Assumptions!$B$12)*(1+Assumptions!$B$13)</f>
        <v>1411963.4799000002</v>
      </c>
      <c r="G224" s="14">
        <f t="shared" si="12"/>
        <v>335190.50009999983</v>
      </c>
      <c r="H224" s="15">
        <f t="shared" si="13"/>
        <v>0.19184943281301389</v>
      </c>
      <c r="I224" s="16">
        <v>71963.444799999997</v>
      </c>
      <c r="J224" s="16">
        <v>119483.25480000001</v>
      </c>
      <c r="K224" s="17">
        <f t="shared" si="14"/>
        <v>143743.80049999984</v>
      </c>
      <c r="L224" s="15">
        <f t="shared" si="15"/>
        <v>8.2273115103455183E-2</v>
      </c>
    </row>
    <row r="225" spans="1:12" x14ac:dyDescent="0.3">
      <c r="A225" s="18" t="str">
        <v>Oct-26</v>
      </c>
      <c r="B225" s="18" t="str">
        <v>ST009</v>
      </c>
      <c r="C225" s="19">
        <v>1496280</v>
      </c>
      <c r="D225" s="19">
        <v>1168514</v>
      </c>
      <c r="E225" s="13">
        <f>C225*(1+Assumptions!$B$12)</f>
        <v>1541168.4000000001</v>
      </c>
      <c r="F225" s="13">
        <f>D225*(1+Assumptions!$B$12)*(1+Assumptions!$B$13)</f>
        <v>1239676.5026</v>
      </c>
      <c r="G225" s="14">
        <f t="shared" si="12"/>
        <v>301491.89740000013</v>
      </c>
      <c r="H225" s="15">
        <f t="shared" si="13"/>
        <v>0.19562553800090898</v>
      </c>
      <c r="I225" s="16">
        <v>72055.027199999997</v>
      </c>
      <c r="J225" s="16">
        <v>135723.34719999999</v>
      </c>
      <c r="K225" s="17">
        <f t="shared" si="14"/>
        <v>93713.523000000132</v>
      </c>
      <c r="L225" s="15">
        <f t="shared" si="15"/>
        <v>6.0806802812723208E-2</v>
      </c>
    </row>
    <row r="226" spans="1:12" x14ac:dyDescent="0.3">
      <c r="A226" s="18" t="str">
        <v>Oct-26</v>
      </c>
      <c r="B226" s="18" t="str">
        <v>ST010</v>
      </c>
      <c r="C226" s="19">
        <v>1692882</v>
      </c>
      <c r="D226" s="19">
        <v>1326748</v>
      </c>
      <c r="E226" s="13">
        <f>C226*(1+Assumptions!$B$12)</f>
        <v>1743668.46</v>
      </c>
      <c r="F226" s="13">
        <f>D226*(1+Assumptions!$B$12)*(1+Assumptions!$B$13)</f>
        <v>1407546.9531999999</v>
      </c>
      <c r="G226" s="14">
        <f t="shared" si="12"/>
        <v>336121.50680000009</v>
      </c>
      <c r="H226" s="15">
        <f t="shared" si="13"/>
        <v>0.19276686738945781</v>
      </c>
      <c r="I226" s="16">
        <v>75289.666400000002</v>
      </c>
      <c r="J226" s="16">
        <v>120224.1853</v>
      </c>
      <c r="K226" s="17">
        <f t="shared" si="14"/>
        <v>140607.65510000009</v>
      </c>
      <c r="L226" s="15">
        <f t="shared" si="15"/>
        <v>8.0638985177262479E-2</v>
      </c>
    </row>
    <row r="227" spans="1:12" x14ac:dyDescent="0.3">
      <c r="A227" s="18" t="str">
        <v>Oct-26</v>
      </c>
      <c r="B227" s="18" t="str">
        <v>ST011</v>
      </c>
      <c r="C227" s="19">
        <v>1678999</v>
      </c>
      <c r="D227" s="19">
        <v>1334533</v>
      </c>
      <c r="E227" s="13">
        <f>C227*(1+Assumptions!$B$12)</f>
        <v>1729368.97</v>
      </c>
      <c r="F227" s="13">
        <f>D227*(1+Assumptions!$B$12)*(1+Assumptions!$B$13)</f>
        <v>1415806.0597000001</v>
      </c>
      <c r="G227" s="14">
        <f t="shared" si="12"/>
        <v>313562.91029999987</v>
      </c>
      <c r="H227" s="15">
        <f t="shared" si="13"/>
        <v>0.18131637362499911</v>
      </c>
      <c r="I227" s="16">
        <v>71913.722399999999</v>
      </c>
      <c r="J227" s="16">
        <v>138319.02960000001</v>
      </c>
      <c r="K227" s="17">
        <f t="shared" si="14"/>
        <v>103330.15829999986</v>
      </c>
      <c r="L227" s="15">
        <f t="shared" si="15"/>
        <v>5.9750209522956725E-2</v>
      </c>
    </row>
    <row r="228" spans="1:12" x14ac:dyDescent="0.3">
      <c r="A228" s="18" t="str">
        <v>Oct-26</v>
      </c>
      <c r="B228" s="18" t="str">
        <v>ST012</v>
      </c>
      <c r="C228" s="19">
        <v>1560610</v>
      </c>
      <c r="D228" s="19">
        <v>1219524</v>
      </c>
      <c r="E228" s="13">
        <f>C228*(1+Assumptions!$B$12)</f>
        <v>1607428.3</v>
      </c>
      <c r="F228" s="13">
        <f>D228*(1+Assumptions!$B$12)*(1+Assumptions!$B$13)</f>
        <v>1293793.0116000001</v>
      </c>
      <c r="G228" s="14">
        <f t="shared" si="12"/>
        <v>313635.28839999996</v>
      </c>
      <c r="H228" s="15">
        <f t="shared" si="13"/>
        <v>0.19511619174553538</v>
      </c>
      <c r="I228" s="16">
        <v>73169.532800000015</v>
      </c>
      <c r="J228" s="16">
        <v>139453.53340000001</v>
      </c>
      <c r="K228" s="17">
        <f t="shared" si="14"/>
        <v>101012.22219999993</v>
      </c>
      <c r="L228" s="15">
        <f t="shared" si="15"/>
        <v>6.2840888268546682E-2</v>
      </c>
    </row>
    <row r="229" spans="1:12" x14ac:dyDescent="0.3">
      <c r="A229" s="18" t="str">
        <v>Oct-26</v>
      </c>
      <c r="B229" s="18" t="str">
        <v>ST013</v>
      </c>
      <c r="C229" s="19">
        <v>1490994</v>
      </c>
      <c r="D229" s="19">
        <v>1202795</v>
      </c>
      <c r="E229" s="13">
        <f>C229*(1+Assumptions!$B$12)</f>
        <v>1535723.82</v>
      </c>
      <c r="F229" s="13">
        <f>D229*(1+Assumptions!$B$12)*(1+Assumptions!$B$13)</f>
        <v>1276045.2155000002</v>
      </c>
      <c r="G229" s="14">
        <f t="shared" si="12"/>
        <v>259678.6044999999</v>
      </c>
      <c r="H229" s="15">
        <f t="shared" si="13"/>
        <v>0.16909199500467467</v>
      </c>
      <c r="I229" s="16">
        <v>70879.993600000002</v>
      </c>
      <c r="J229" s="16">
        <v>134680.31770000001</v>
      </c>
      <c r="K229" s="17">
        <f t="shared" si="14"/>
        <v>54118.293199999898</v>
      </c>
      <c r="L229" s="15">
        <f t="shared" si="15"/>
        <v>3.5239600047357406E-2</v>
      </c>
    </row>
    <row r="230" spans="1:12" x14ac:dyDescent="0.3">
      <c r="A230" s="18" t="str">
        <v>Oct-26</v>
      </c>
      <c r="B230" s="18" t="str">
        <v>ST014</v>
      </c>
      <c r="C230" s="19">
        <v>1557414</v>
      </c>
      <c r="D230" s="19">
        <v>1202984</v>
      </c>
      <c r="E230" s="13">
        <f>C230*(1+Assumptions!$B$12)</f>
        <v>1604136.42</v>
      </c>
      <c r="F230" s="13">
        <f>D230*(1+Assumptions!$B$12)*(1+Assumptions!$B$13)</f>
        <v>1276245.7256</v>
      </c>
      <c r="G230" s="14">
        <f t="shared" si="12"/>
        <v>327890.69439999992</v>
      </c>
      <c r="H230" s="15">
        <f t="shared" si="13"/>
        <v>0.20440324794820128</v>
      </c>
      <c r="I230" s="16">
        <v>74339.085600000006</v>
      </c>
      <c r="J230" s="16">
        <v>128731.94410000001</v>
      </c>
      <c r="K230" s="17">
        <f t="shared" si="14"/>
        <v>124819.66469999992</v>
      </c>
      <c r="L230" s="15">
        <f t="shared" si="15"/>
        <v>7.7811128245564007E-2</v>
      </c>
    </row>
    <row r="231" spans="1:12" x14ac:dyDescent="0.3">
      <c r="A231" s="18" t="str">
        <v>Oct-26</v>
      </c>
      <c r="B231" s="18" t="str">
        <v>ST015</v>
      </c>
      <c r="C231" s="19">
        <v>1485481</v>
      </c>
      <c r="D231" s="19">
        <v>1149249</v>
      </c>
      <c r="E231" s="13">
        <f>C231*(1+Assumptions!$B$12)</f>
        <v>1530045.43</v>
      </c>
      <c r="F231" s="13">
        <f>D231*(1+Assumptions!$B$12)*(1+Assumptions!$B$13)</f>
        <v>1219238.2641</v>
      </c>
      <c r="G231" s="14">
        <f t="shared" si="12"/>
        <v>310807.16589999991</v>
      </c>
      <c r="H231" s="15">
        <f t="shared" si="13"/>
        <v>0.20313590682075364</v>
      </c>
      <c r="I231" s="16">
        <v>70938.14</v>
      </c>
      <c r="J231" s="16">
        <v>135543.54010000001</v>
      </c>
      <c r="K231" s="17">
        <f t="shared" si="14"/>
        <v>104325.48579999988</v>
      </c>
      <c r="L231" s="15">
        <f t="shared" si="15"/>
        <v>6.8184567434706744E-2</v>
      </c>
    </row>
    <row r="232" spans="1:12" x14ac:dyDescent="0.3">
      <c r="A232" s="18" t="str">
        <v>Oct-26</v>
      </c>
      <c r="B232" s="18" t="str">
        <v>ST016</v>
      </c>
      <c r="C232" s="19">
        <v>1592393</v>
      </c>
      <c r="D232" s="19">
        <v>1240774</v>
      </c>
      <c r="E232" s="13">
        <f>C232*(1+Assumptions!$B$12)</f>
        <v>1640164.79</v>
      </c>
      <c r="F232" s="13">
        <f>D232*(1+Assumptions!$B$12)*(1+Assumptions!$B$13)</f>
        <v>1316337.1366000001</v>
      </c>
      <c r="G232" s="14">
        <f t="shared" si="12"/>
        <v>323827.65339999995</v>
      </c>
      <c r="H232" s="15">
        <f t="shared" si="13"/>
        <v>0.1974360475083726</v>
      </c>
      <c r="I232" s="16">
        <v>71737.879199999996</v>
      </c>
      <c r="J232" s="16">
        <v>116909.5526</v>
      </c>
      <c r="K232" s="17">
        <f t="shared" si="14"/>
        <v>135180.22159999996</v>
      </c>
      <c r="L232" s="15">
        <f t="shared" si="15"/>
        <v>8.2418682820279268E-2</v>
      </c>
    </row>
    <row r="233" spans="1:12" x14ac:dyDescent="0.3">
      <c r="A233" s="18" t="str">
        <v>Oct-26</v>
      </c>
      <c r="B233" s="18" t="str">
        <v>ST017</v>
      </c>
      <c r="C233" s="19">
        <v>1691266</v>
      </c>
      <c r="D233" s="19">
        <v>1311077</v>
      </c>
      <c r="E233" s="13">
        <f>C233*(1+Assumptions!$B$12)</f>
        <v>1742003.98</v>
      </c>
      <c r="F233" s="13">
        <f>D233*(1+Assumptions!$B$12)*(1+Assumptions!$B$13)</f>
        <v>1390921.5893000001</v>
      </c>
      <c r="G233" s="14">
        <f t="shared" si="12"/>
        <v>351082.39069999987</v>
      </c>
      <c r="H233" s="15">
        <f t="shared" si="13"/>
        <v>0.20153937346342909</v>
      </c>
      <c r="I233" s="16">
        <v>71907.191200000001</v>
      </c>
      <c r="J233" s="16">
        <v>118718.6961</v>
      </c>
      <c r="K233" s="17">
        <f t="shared" si="14"/>
        <v>160456.50339999987</v>
      </c>
      <c r="L233" s="15">
        <f t="shared" si="15"/>
        <v>9.2110296671078715E-2</v>
      </c>
    </row>
    <row r="234" spans="1:12" x14ac:dyDescent="0.3">
      <c r="A234" s="18" t="str">
        <v>Oct-26</v>
      </c>
      <c r="B234" s="18" t="str">
        <v>ST018</v>
      </c>
      <c r="C234" s="19">
        <v>1692670</v>
      </c>
      <c r="D234" s="19">
        <v>1317718</v>
      </c>
      <c r="E234" s="13">
        <f>C234*(1+Assumptions!$B$12)</f>
        <v>1743450.1</v>
      </c>
      <c r="F234" s="13">
        <f>D234*(1+Assumptions!$B$12)*(1+Assumptions!$B$13)</f>
        <v>1397967.0262</v>
      </c>
      <c r="G234" s="14">
        <f t="shared" si="12"/>
        <v>345483.07380000013</v>
      </c>
      <c r="H234" s="15">
        <f t="shared" si="13"/>
        <v>0.1981605747133228</v>
      </c>
      <c r="I234" s="16">
        <v>71576.22159999999</v>
      </c>
      <c r="J234" s="16">
        <v>140886.38699999999</v>
      </c>
      <c r="K234" s="17">
        <f t="shared" si="14"/>
        <v>133020.46520000015</v>
      </c>
      <c r="L234" s="15">
        <f t="shared" si="15"/>
        <v>7.6297259783919338E-2</v>
      </c>
    </row>
    <row r="235" spans="1:12" x14ac:dyDescent="0.3">
      <c r="A235" s="18" t="str">
        <v>Oct-26</v>
      </c>
      <c r="B235" s="18" t="str">
        <v>ST019</v>
      </c>
      <c r="C235" s="19">
        <v>1501622</v>
      </c>
      <c r="D235" s="19">
        <v>1201571</v>
      </c>
      <c r="E235" s="13">
        <f>C235*(1+Assumptions!$B$12)</f>
        <v>1546670.6600000001</v>
      </c>
      <c r="F235" s="13">
        <f>D235*(1+Assumptions!$B$12)*(1+Assumptions!$B$13)</f>
        <v>1274746.6739000001</v>
      </c>
      <c r="G235" s="14">
        <f t="shared" si="12"/>
        <v>271923.9861000001</v>
      </c>
      <c r="H235" s="15">
        <f t="shared" si="13"/>
        <v>0.17581246811780865</v>
      </c>
      <c r="I235" s="16">
        <v>17453.560799999999</v>
      </c>
      <c r="J235" s="16">
        <v>29349.324700000001</v>
      </c>
      <c r="K235" s="17">
        <f t="shared" si="14"/>
        <v>225121.10060000009</v>
      </c>
      <c r="L235" s="15">
        <f t="shared" si="15"/>
        <v>0.14555205993239703</v>
      </c>
    </row>
    <row r="236" spans="1:12" x14ac:dyDescent="0.3">
      <c r="A236" s="18" t="str">
        <v>Oct-26</v>
      </c>
      <c r="B236" s="18" t="str">
        <v>ST020</v>
      </c>
      <c r="C236" s="19">
        <v>1574672</v>
      </c>
      <c r="D236" s="19">
        <v>1234540</v>
      </c>
      <c r="E236" s="13">
        <f>C236*(1+Assumptions!$B$12)</f>
        <v>1621912.1600000001</v>
      </c>
      <c r="F236" s="13">
        <f>D236*(1+Assumptions!$B$12)*(1+Assumptions!$B$13)</f>
        <v>1309723.486</v>
      </c>
      <c r="G236" s="14">
        <f t="shared" si="12"/>
        <v>312188.67400000012</v>
      </c>
      <c r="H236" s="15">
        <f t="shared" si="13"/>
        <v>0.1924818628895415</v>
      </c>
      <c r="I236" s="16">
        <v>16490.198400000001</v>
      </c>
      <c r="J236" s="16">
        <v>29914.753500000003</v>
      </c>
      <c r="K236" s="17">
        <f t="shared" si="14"/>
        <v>265783.72210000013</v>
      </c>
      <c r="L236" s="15">
        <f t="shared" si="15"/>
        <v>0.16387060203063039</v>
      </c>
    </row>
    <row r="237" spans="1:12" x14ac:dyDescent="0.3">
      <c r="A237" s="18" t="str">
        <v>Oct-26</v>
      </c>
      <c r="B237" s="18" t="str">
        <v>ST021</v>
      </c>
      <c r="C237" s="19">
        <v>1562069</v>
      </c>
      <c r="D237" s="19">
        <v>1232906</v>
      </c>
      <c r="E237" s="13">
        <f>C237*(1+Assumptions!$B$12)</f>
        <v>1608931.07</v>
      </c>
      <c r="F237" s="13">
        <f>D237*(1+Assumptions!$B$12)*(1+Assumptions!$B$13)</f>
        <v>1307989.9753999999</v>
      </c>
      <c r="G237" s="14">
        <f t="shared" si="12"/>
        <v>300941.09460000019</v>
      </c>
      <c r="H237" s="15">
        <f t="shared" si="13"/>
        <v>0.18704411904979881</v>
      </c>
      <c r="I237" s="16">
        <v>16575.7592</v>
      </c>
      <c r="J237" s="16">
        <v>30315.258700000002</v>
      </c>
      <c r="K237" s="17">
        <f t="shared" si="14"/>
        <v>254050.07670000021</v>
      </c>
      <c r="L237" s="15">
        <f t="shared" si="15"/>
        <v>0.15789991344999024</v>
      </c>
    </row>
    <row r="238" spans="1:12" x14ac:dyDescent="0.3">
      <c r="A238" s="18" t="str">
        <v>Oct-26</v>
      </c>
      <c r="B238" s="18" t="str">
        <v>ST022</v>
      </c>
      <c r="C238" s="19">
        <v>1725032</v>
      </c>
      <c r="D238" s="19">
        <v>1346581</v>
      </c>
      <c r="E238" s="13">
        <f>C238*(1+Assumptions!$B$12)</f>
        <v>1776782.96</v>
      </c>
      <c r="F238" s="13">
        <f>D238*(1+Assumptions!$B$12)*(1+Assumptions!$B$13)</f>
        <v>1428587.7829</v>
      </c>
      <c r="G238" s="14">
        <f t="shared" si="12"/>
        <v>348195.17709999997</v>
      </c>
      <c r="H238" s="15">
        <f t="shared" si="13"/>
        <v>0.19596944868269109</v>
      </c>
      <c r="I238" s="16">
        <v>17032.974400000003</v>
      </c>
      <c r="J238" s="16">
        <v>29458.401699999999</v>
      </c>
      <c r="K238" s="17">
        <f t="shared" si="14"/>
        <v>301703.80099999998</v>
      </c>
      <c r="L238" s="15">
        <f t="shared" si="15"/>
        <v>0.16980340750228715</v>
      </c>
    </row>
    <row r="239" spans="1:12" x14ac:dyDescent="0.3">
      <c r="A239" s="18" t="str">
        <v>Oct-26</v>
      </c>
      <c r="B239" s="18" t="str">
        <v>ST023</v>
      </c>
      <c r="C239" s="19">
        <v>1949542</v>
      </c>
      <c r="D239" s="19">
        <v>1520494</v>
      </c>
      <c r="E239" s="13">
        <f>C239*(1+Assumptions!$B$12)</f>
        <v>2008028.26</v>
      </c>
      <c r="F239" s="13">
        <f>D239*(1+Assumptions!$B$12)*(1+Assumptions!$B$13)</f>
        <v>1613092.0846000002</v>
      </c>
      <c r="G239" s="14">
        <f t="shared" si="12"/>
        <v>394936.17539999983</v>
      </c>
      <c r="H239" s="15">
        <f t="shared" si="13"/>
        <v>0.19667859425444531</v>
      </c>
      <c r="I239" s="16">
        <v>16165.5728</v>
      </c>
      <c r="J239" s="16">
        <v>32094.727900000002</v>
      </c>
      <c r="K239" s="17">
        <f t="shared" si="14"/>
        <v>346675.87469999981</v>
      </c>
      <c r="L239" s="15">
        <f t="shared" si="15"/>
        <v>0.17264491820448771</v>
      </c>
    </row>
    <row r="240" spans="1:12" x14ac:dyDescent="0.3">
      <c r="A240" s="18" t="str">
        <v>Oct-26</v>
      </c>
      <c r="B240" s="18" t="str">
        <v>ST024</v>
      </c>
      <c r="C240" s="19">
        <v>3536369</v>
      </c>
      <c r="D240" s="19">
        <v>2741904</v>
      </c>
      <c r="E240" s="13">
        <f>C240*(1+Assumptions!$B$12)</f>
        <v>3642460.0700000003</v>
      </c>
      <c r="F240" s="13">
        <f>D240*(1+Assumptions!$B$12)*(1+Assumptions!$B$13)</f>
        <v>2908885.9536000001</v>
      </c>
      <c r="G240" s="14">
        <f t="shared" si="12"/>
        <v>733574.11640000017</v>
      </c>
      <c r="H240" s="15">
        <f t="shared" si="13"/>
        <v>0.20139523901493314</v>
      </c>
      <c r="I240" s="16">
        <v>17814.950399999998</v>
      </c>
      <c r="J240" s="16">
        <v>32079.473600000001</v>
      </c>
      <c r="K240" s="17">
        <f t="shared" si="14"/>
        <v>683679.69240000017</v>
      </c>
      <c r="L240" s="15">
        <f t="shared" si="15"/>
        <v>0.18769723737836339</v>
      </c>
    </row>
    <row r="241" spans="1:12" x14ac:dyDescent="0.3">
      <c r="A241" s="18" t="str">
        <v>Oct-26</v>
      </c>
      <c r="B241" s="18" t="str">
        <v>ST025</v>
      </c>
      <c r="C241" s="19">
        <v>1778364</v>
      </c>
      <c r="D241" s="19">
        <v>1392863</v>
      </c>
      <c r="E241" s="13">
        <f>C241*(1+Assumptions!$B$12)</f>
        <v>1831714.9200000002</v>
      </c>
      <c r="F241" s="13">
        <f>D241*(1+Assumptions!$B$12)*(1+Assumptions!$B$13)</f>
        <v>1477688.3567000001</v>
      </c>
      <c r="G241" s="14">
        <f t="shared" si="12"/>
        <v>354026.56330000004</v>
      </c>
      <c r="H241" s="15">
        <f t="shared" si="13"/>
        <v>0.19327601660852334</v>
      </c>
      <c r="I241" s="16">
        <v>16867.936799999999</v>
      </c>
      <c r="J241" s="16">
        <v>28980.5023</v>
      </c>
      <c r="K241" s="17">
        <f t="shared" si="14"/>
        <v>308178.12420000002</v>
      </c>
      <c r="L241" s="15">
        <f t="shared" si="15"/>
        <v>0.16824568104735424</v>
      </c>
    </row>
    <row r="242" spans="1:12" x14ac:dyDescent="0.3">
      <c r="A242" s="18" t="str">
        <v>Nov-26</v>
      </c>
      <c r="B242" s="18" t="str">
        <v>ST001</v>
      </c>
      <c r="C242" s="19">
        <v>1510534</v>
      </c>
      <c r="D242" s="19">
        <v>1186388</v>
      </c>
      <c r="E242" s="13">
        <f>C242*(1+Assumptions!$B$12)</f>
        <v>1555850.02</v>
      </c>
      <c r="F242" s="13">
        <f>D242*(1+Assumptions!$B$12)*(1+Assumptions!$B$13)</f>
        <v>1258639.0292000002</v>
      </c>
      <c r="G242" s="14">
        <f t="shared" si="12"/>
        <v>297210.9907999998</v>
      </c>
      <c r="H242" s="15">
        <f t="shared" si="13"/>
        <v>0.19102804703502191</v>
      </c>
      <c r="I242" s="16">
        <v>71509.016799999998</v>
      </c>
      <c r="J242" s="16">
        <v>124082.6168</v>
      </c>
      <c r="K242" s="17">
        <f t="shared" si="14"/>
        <v>101619.35719999981</v>
      </c>
      <c r="L242" s="15">
        <f t="shared" si="15"/>
        <v>6.5314365712448169E-2</v>
      </c>
    </row>
    <row r="243" spans="1:12" x14ac:dyDescent="0.3">
      <c r="A243" s="18" t="str">
        <v>Nov-26</v>
      </c>
      <c r="B243" s="18" t="str">
        <v>ST002</v>
      </c>
      <c r="C243" s="19">
        <v>1514717</v>
      </c>
      <c r="D243" s="19">
        <v>1166936</v>
      </c>
      <c r="E243" s="13">
        <f>C243*(1+Assumptions!$B$12)</f>
        <v>1560158.51</v>
      </c>
      <c r="F243" s="13">
        <f>D243*(1+Assumptions!$B$12)*(1+Assumptions!$B$13)</f>
        <v>1238002.4024</v>
      </c>
      <c r="G243" s="14">
        <f t="shared" si="12"/>
        <v>322156.10759999999</v>
      </c>
      <c r="H243" s="15">
        <f t="shared" si="13"/>
        <v>0.20648934421413373</v>
      </c>
      <c r="I243" s="16">
        <v>69685.387199999997</v>
      </c>
      <c r="J243" s="16">
        <v>133749.21830000001</v>
      </c>
      <c r="K243" s="17">
        <f t="shared" si="14"/>
        <v>118721.50209999998</v>
      </c>
      <c r="L243" s="15">
        <f t="shared" si="15"/>
        <v>7.6095794971499389E-2</v>
      </c>
    </row>
    <row r="244" spans="1:12" x14ac:dyDescent="0.3">
      <c r="A244" s="18" t="str">
        <v>Nov-26</v>
      </c>
      <c r="B244" s="18" t="str">
        <v>ST003</v>
      </c>
      <c r="C244" s="19">
        <v>1675060</v>
      </c>
      <c r="D244" s="19">
        <v>1322891</v>
      </c>
      <c r="E244" s="13">
        <f>C244*(1+Assumptions!$B$12)</f>
        <v>1725311.8</v>
      </c>
      <c r="F244" s="13">
        <f>D244*(1+Assumptions!$B$12)*(1+Assumptions!$B$13)</f>
        <v>1403455.0619000001</v>
      </c>
      <c r="G244" s="14">
        <f t="shared" si="12"/>
        <v>321856.73809999996</v>
      </c>
      <c r="H244" s="15">
        <f t="shared" si="13"/>
        <v>0.18654989672011746</v>
      </c>
      <c r="I244" s="16">
        <v>70660.5432</v>
      </c>
      <c r="J244" s="16">
        <v>128190.1229</v>
      </c>
      <c r="K244" s="17">
        <f t="shared" si="14"/>
        <v>123006.07199999994</v>
      </c>
      <c r="L244" s="15">
        <f t="shared" si="15"/>
        <v>7.1294980999956029E-2</v>
      </c>
    </row>
    <row r="245" spans="1:12" x14ac:dyDescent="0.3">
      <c r="A245" s="18" t="str">
        <v>Nov-26</v>
      </c>
      <c r="B245" s="18" t="str">
        <v>ST004</v>
      </c>
      <c r="C245" s="19">
        <v>1574094</v>
      </c>
      <c r="D245" s="19">
        <v>1237477</v>
      </c>
      <c r="E245" s="13">
        <f>C245*(1+Assumptions!$B$12)</f>
        <v>1621316.82</v>
      </c>
      <c r="F245" s="13">
        <f>D245*(1+Assumptions!$B$12)*(1+Assumptions!$B$13)</f>
        <v>1312839.3493000001</v>
      </c>
      <c r="G245" s="14">
        <f t="shared" si="12"/>
        <v>308477.47069999995</v>
      </c>
      <c r="H245" s="15">
        <f t="shared" si="13"/>
        <v>0.19026353572277127</v>
      </c>
      <c r="I245" s="16">
        <v>72052.947199999995</v>
      </c>
      <c r="J245" s="16">
        <v>120347.6823</v>
      </c>
      <c r="K245" s="17">
        <f t="shared" si="14"/>
        <v>116076.84119999995</v>
      </c>
      <c r="L245" s="15">
        <f t="shared" si="15"/>
        <v>7.1594175652849854E-2</v>
      </c>
    </row>
    <row r="246" spans="1:12" x14ac:dyDescent="0.3">
      <c r="A246" s="18" t="str">
        <v>Nov-26</v>
      </c>
      <c r="B246" s="18" t="str">
        <v>ST005</v>
      </c>
      <c r="C246" s="19">
        <v>1438976</v>
      </c>
      <c r="D246" s="19">
        <v>1130365</v>
      </c>
      <c r="E246" s="13">
        <f>C246*(1+Assumptions!$B$12)</f>
        <v>1482145.28</v>
      </c>
      <c r="F246" s="13">
        <f>D246*(1+Assumptions!$B$12)*(1+Assumptions!$B$13)</f>
        <v>1199204.2285</v>
      </c>
      <c r="G246" s="14">
        <f t="shared" si="12"/>
        <v>282941.05150000006</v>
      </c>
      <c r="H246" s="15">
        <f t="shared" si="13"/>
        <v>0.19089967449074902</v>
      </c>
      <c r="I246" s="16">
        <v>71281.506400000013</v>
      </c>
      <c r="J246" s="16">
        <v>118713.7212</v>
      </c>
      <c r="K246" s="17">
        <f t="shared" si="14"/>
        <v>92945.823900000047</v>
      </c>
      <c r="L246" s="15">
        <f t="shared" si="15"/>
        <v>6.2710332889904047E-2</v>
      </c>
    </row>
    <row r="247" spans="1:12" x14ac:dyDescent="0.3">
      <c r="A247" s="18" t="str">
        <v>Nov-26</v>
      </c>
      <c r="B247" s="18" t="str">
        <v>ST006</v>
      </c>
      <c r="C247" s="19">
        <v>1492347</v>
      </c>
      <c r="D247" s="19">
        <v>1172275</v>
      </c>
      <c r="E247" s="13">
        <f>C247*(1+Assumptions!$B$12)</f>
        <v>1537117.4100000001</v>
      </c>
      <c r="F247" s="13">
        <f>D247*(1+Assumptions!$B$12)*(1+Assumptions!$B$13)</f>
        <v>1243666.5475000001</v>
      </c>
      <c r="G247" s="14">
        <f t="shared" si="12"/>
        <v>293450.86250000005</v>
      </c>
      <c r="H247" s="15">
        <f t="shared" si="13"/>
        <v>0.19090985541566408</v>
      </c>
      <c r="I247" s="16">
        <v>69782.731199999995</v>
      </c>
      <c r="J247" s="16">
        <v>124712.0704</v>
      </c>
      <c r="K247" s="17">
        <f t="shared" si="14"/>
        <v>98956.06090000007</v>
      </c>
      <c r="L247" s="15">
        <f t="shared" si="15"/>
        <v>6.4377685306420449E-2</v>
      </c>
    </row>
    <row r="248" spans="1:12" x14ac:dyDescent="0.3">
      <c r="A248" s="18" t="str">
        <v>Nov-26</v>
      </c>
      <c r="B248" s="18" t="str">
        <v>ST007</v>
      </c>
      <c r="C248" s="19">
        <v>1631250</v>
      </c>
      <c r="D248" s="19">
        <v>1291763</v>
      </c>
      <c r="E248" s="13">
        <f>C248*(1+Assumptions!$B$12)</f>
        <v>1680187.5</v>
      </c>
      <c r="F248" s="13">
        <f>D248*(1+Assumptions!$B$12)*(1+Assumptions!$B$13)</f>
        <v>1370431.3667000001</v>
      </c>
      <c r="G248" s="14">
        <f t="shared" si="12"/>
        <v>309756.13329999987</v>
      </c>
      <c r="H248" s="15">
        <f t="shared" si="13"/>
        <v>0.18435807509578536</v>
      </c>
      <c r="I248" s="16">
        <v>69672.407999999996</v>
      </c>
      <c r="J248" s="16">
        <v>143906.01739999998</v>
      </c>
      <c r="K248" s="17">
        <f t="shared" si="14"/>
        <v>96177.707899999892</v>
      </c>
      <c r="L248" s="15">
        <f t="shared" si="15"/>
        <v>5.7242247011122203E-2</v>
      </c>
    </row>
    <row r="249" spans="1:12" x14ac:dyDescent="0.3">
      <c r="A249" s="18" t="str">
        <v>Nov-26</v>
      </c>
      <c r="B249" s="18" t="str">
        <v>ST008</v>
      </c>
      <c r="C249" s="19">
        <v>1625249</v>
      </c>
      <c r="D249" s="19">
        <v>1277633</v>
      </c>
      <c r="E249" s="13">
        <f>C249*(1+Assumptions!$B$12)</f>
        <v>1674006.47</v>
      </c>
      <c r="F249" s="13">
        <f>D249*(1+Assumptions!$B$12)*(1+Assumptions!$B$13)</f>
        <v>1355440.8497000001</v>
      </c>
      <c r="G249" s="14">
        <f t="shared" si="12"/>
        <v>318565.62029999983</v>
      </c>
      <c r="H249" s="15">
        <f t="shared" si="13"/>
        <v>0.19030130767654671</v>
      </c>
      <c r="I249" s="16">
        <v>73241.115999999995</v>
      </c>
      <c r="J249" s="16">
        <v>125567.4751</v>
      </c>
      <c r="K249" s="17">
        <f t="shared" si="14"/>
        <v>119757.02919999986</v>
      </c>
      <c r="L249" s="15">
        <f t="shared" si="15"/>
        <v>7.1539167468092205E-2</v>
      </c>
    </row>
    <row r="250" spans="1:12" x14ac:dyDescent="0.3">
      <c r="A250" s="18" t="str">
        <v>Nov-26</v>
      </c>
      <c r="B250" s="18" t="str">
        <v>ST009</v>
      </c>
      <c r="C250" s="19">
        <v>1524755</v>
      </c>
      <c r="D250" s="19">
        <v>1176741</v>
      </c>
      <c r="E250" s="13">
        <f>C250*(1+Assumptions!$B$12)</f>
        <v>1570497.6500000001</v>
      </c>
      <c r="F250" s="13">
        <f>D250*(1+Assumptions!$B$12)*(1+Assumptions!$B$13)</f>
        <v>1248404.5268999999</v>
      </c>
      <c r="G250" s="14">
        <f t="shared" si="12"/>
        <v>322093.1231000002</v>
      </c>
      <c r="H250" s="15">
        <f t="shared" si="13"/>
        <v>0.20508984722135698</v>
      </c>
      <c r="I250" s="16">
        <v>71638.309600000008</v>
      </c>
      <c r="J250" s="16">
        <v>138608.50079999998</v>
      </c>
      <c r="K250" s="17">
        <f t="shared" si="14"/>
        <v>111846.31270000021</v>
      </c>
      <c r="L250" s="15">
        <f t="shared" si="15"/>
        <v>7.1217115606636031E-2</v>
      </c>
    </row>
    <row r="251" spans="1:12" x14ac:dyDescent="0.3">
      <c r="A251" s="18" t="str">
        <v>Nov-26</v>
      </c>
      <c r="B251" s="18" t="str">
        <v>ST010</v>
      </c>
      <c r="C251" s="19">
        <v>1750515</v>
      </c>
      <c r="D251" s="19">
        <v>1368751</v>
      </c>
      <c r="E251" s="13">
        <f>C251*(1+Assumptions!$B$12)</f>
        <v>1803030.45</v>
      </c>
      <c r="F251" s="13">
        <f>D251*(1+Assumptions!$B$12)*(1+Assumptions!$B$13)</f>
        <v>1452107.9359000002</v>
      </c>
      <c r="G251" s="14">
        <f t="shared" si="12"/>
        <v>350922.5140999998</v>
      </c>
      <c r="H251" s="15">
        <f t="shared" si="13"/>
        <v>0.19462927766971425</v>
      </c>
      <c r="I251" s="16">
        <v>69663.859199999992</v>
      </c>
      <c r="J251" s="16">
        <v>124187.5635</v>
      </c>
      <c r="K251" s="17">
        <f t="shared" si="14"/>
        <v>157071.0913999998</v>
      </c>
      <c r="L251" s="15">
        <f t="shared" si="15"/>
        <v>8.7115051994823389E-2</v>
      </c>
    </row>
    <row r="252" spans="1:12" x14ac:dyDescent="0.3">
      <c r="A252" s="18" t="str">
        <v>Nov-26</v>
      </c>
      <c r="B252" s="18" t="str">
        <v>ST011</v>
      </c>
      <c r="C252" s="19">
        <v>1518520</v>
      </c>
      <c r="D252" s="19">
        <v>1209070</v>
      </c>
      <c r="E252" s="13">
        <f>C252*(1+Assumptions!$B$12)</f>
        <v>1564075.6</v>
      </c>
      <c r="F252" s="13">
        <f>D252*(1+Assumptions!$B$12)*(1+Assumptions!$B$13)</f>
        <v>1282702.3630000001</v>
      </c>
      <c r="G252" s="14">
        <f t="shared" si="12"/>
        <v>281373.23699999996</v>
      </c>
      <c r="H252" s="15">
        <f t="shared" si="13"/>
        <v>0.17989746595369172</v>
      </c>
      <c r="I252" s="16">
        <v>69095.343200000003</v>
      </c>
      <c r="J252" s="16">
        <v>122510.50720000001</v>
      </c>
      <c r="K252" s="17">
        <f t="shared" si="14"/>
        <v>89767.386599999954</v>
      </c>
      <c r="L252" s="15">
        <f t="shared" si="15"/>
        <v>5.7393252985980955E-2</v>
      </c>
    </row>
    <row r="253" spans="1:12" x14ac:dyDescent="0.3">
      <c r="A253" s="18" t="str">
        <v>Nov-26</v>
      </c>
      <c r="B253" s="18" t="str">
        <v>ST012</v>
      </c>
      <c r="C253" s="19">
        <v>1630726</v>
      </c>
      <c r="D253" s="19">
        <v>1298415</v>
      </c>
      <c r="E253" s="13">
        <f>C253*(1+Assumptions!$B$12)</f>
        <v>1679647.78</v>
      </c>
      <c r="F253" s="13">
        <f>D253*(1+Assumptions!$B$12)*(1+Assumptions!$B$13)</f>
        <v>1377488.4735000001</v>
      </c>
      <c r="G253" s="14">
        <f t="shared" si="12"/>
        <v>302159.30649999995</v>
      </c>
      <c r="H253" s="15">
        <f t="shared" si="13"/>
        <v>0.17989444578672317</v>
      </c>
      <c r="I253" s="16">
        <v>70071.445600000006</v>
      </c>
      <c r="J253" s="16">
        <v>122317.60880000002</v>
      </c>
      <c r="K253" s="17">
        <f t="shared" si="14"/>
        <v>109770.25209999993</v>
      </c>
      <c r="L253" s="15">
        <f t="shared" si="15"/>
        <v>6.5353137370264575E-2</v>
      </c>
    </row>
    <row r="254" spans="1:12" x14ac:dyDescent="0.3">
      <c r="A254" s="18" t="str">
        <v>Nov-26</v>
      </c>
      <c r="B254" s="18" t="str">
        <v>ST013</v>
      </c>
      <c r="C254" s="19">
        <v>1579021</v>
      </c>
      <c r="D254" s="19">
        <v>1228302</v>
      </c>
      <c r="E254" s="13">
        <f>C254*(1+Assumptions!$B$12)</f>
        <v>1626391.6300000001</v>
      </c>
      <c r="F254" s="13">
        <f>D254*(1+Assumptions!$B$12)*(1+Assumptions!$B$13)</f>
        <v>1303105.5918000001</v>
      </c>
      <c r="G254" s="14">
        <f t="shared" si="12"/>
        <v>323286.03820000007</v>
      </c>
      <c r="H254" s="15">
        <f t="shared" si="13"/>
        <v>0.1987750257912973</v>
      </c>
      <c r="I254" s="16">
        <v>70974.103199999998</v>
      </c>
      <c r="J254" s="16">
        <v>131795.8027</v>
      </c>
      <c r="K254" s="17">
        <f t="shared" si="14"/>
        <v>120516.13230000006</v>
      </c>
      <c r="L254" s="15">
        <f t="shared" si="15"/>
        <v>7.4100315125207608E-2</v>
      </c>
    </row>
    <row r="255" spans="1:12" x14ac:dyDescent="0.3">
      <c r="A255" s="18" t="str">
        <v>Nov-26</v>
      </c>
      <c r="B255" s="18" t="str">
        <v>ST014</v>
      </c>
      <c r="C255" s="19">
        <v>1743753</v>
      </c>
      <c r="D255" s="19">
        <v>1368349</v>
      </c>
      <c r="E255" s="13">
        <f>C255*(1+Assumptions!$B$12)</f>
        <v>1796065.59</v>
      </c>
      <c r="F255" s="13">
        <f>D255*(1+Assumptions!$B$12)*(1+Assumptions!$B$13)</f>
        <v>1451681.4541</v>
      </c>
      <c r="G255" s="14">
        <f t="shared" si="12"/>
        <v>344384.13590000011</v>
      </c>
      <c r="H255" s="15">
        <f t="shared" si="13"/>
        <v>0.19174362997511693</v>
      </c>
      <c r="I255" s="16">
        <v>72435.854399999997</v>
      </c>
      <c r="J255" s="16">
        <v>116673.8371</v>
      </c>
      <c r="K255" s="17">
        <f t="shared" si="14"/>
        <v>155274.44440000009</v>
      </c>
      <c r="L255" s="15">
        <f t="shared" si="15"/>
        <v>8.6452546758050239E-2</v>
      </c>
    </row>
    <row r="256" spans="1:12" x14ac:dyDescent="0.3">
      <c r="A256" s="18" t="str">
        <v>Nov-26</v>
      </c>
      <c r="B256" s="18" t="str">
        <v>ST015</v>
      </c>
      <c r="C256" s="19">
        <v>1643316</v>
      </c>
      <c r="D256" s="19">
        <v>1270224</v>
      </c>
      <c r="E256" s="13">
        <f>C256*(1+Assumptions!$B$12)</f>
        <v>1692615.48</v>
      </c>
      <c r="F256" s="13">
        <f>D256*(1+Assumptions!$B$12)*(1+Assumptions!$B$13)</f>
        <v>1347580.6416</v>
      </c>
      <c r="G256" s="14">
        <f t="shared" si="12"/>
        <v>345034.83840000001</v>
      </c>
      <c r="H256" s="15">
        <f t="shared" si="13"/>
        <v>0.20384714808350921</v>
      </c>
      <c r="I256" s="16">
        <v>71127.409600000014</v>
      </c>
      <c r="J256" s="16">
        <v>122760.73539999999</v>
      </c>
      <c r="K256" s="17">
        <f t="shared" si="14"/>
        <v>151146.69339999999</v>
      </c>
      <c r="L256" s="15">
        <f t="shared" si="15"/>
        <v>8.9297714209727055E-2</v>
      </c>
    </row>
    <row r="257" spans="1:12" x14ac:dyDescent="0.3">
      <c r="A257" s="18" t="str">
        <v>Nov-26</v>
      </c>
      <c r="B257" s="18" t="str">
        <v>ST016</v>
      </c>
      <c r="C257" s="19">
        <v>1558102</v>
      </c>
      <c r="D257" s="19">
        <v>1245941</v>
      </c>
      <c r="E257" s="13">
        <f>C257*(1+Assumptions!$B$12)</f>
        <v>1604845.06</v>
      </c>
      <c r="F257" s="13">
        <f>D257*(1+Assumptions!$B$12)*(1+Assumptions!$B$13)</f>
        <v>1321818.8069</v>
      </c>
      <c r="G257" s="14">
        <f t="shared" si="12"/>
        <v>283026.25310000009</v>
      </c>
      <c r="H257" s="15">
        <f t="shared" si="13"/>
        <v>0.1763573694148394</v>
      </c>
      <c r="I257" s="16">
        <v>70810.147199999992</v>
      </c>
      <c r="J257" s="16">
        <v>133501.26640000002</v>
      </c>
      <c r="K257" s="17">
        <f t="shared" si="14"/>
        <v>78714.83950000006</v>
      </c>
      <c r="L257" s="15">
        <f t="shared" si="15"/>
        <v>4.9048248620337256E-2</v>
      </c>
    </row>
    <row r="258" spans="1:12" x14ac:dyDescent="0.3">
      <c r="A258" s="18" t="str">
        <v>Nov-26</v>
      </c>
      <c r="B258" s="18" t="str">
        <v>ST017</v>
      </c>
      <c r="C258" s="19">
        <v>1587634</v>
      </c>
      <c r="D258" s="19">
        <v>1234897</v>
      </c>
      <c r="E258" s="13">
        <f>C258*(1+Assumptions!$B$12)</f>
        <v>1635263.02</v>
      </c>
      <c r="F258" s="13">
        <f>D258*(1+Assumptions!$B$12)*(1+Assumptions!$B$13)</f>
        <v>1310102.2273000001</v>
      </c>
      <c r="G258" s="14">
        <f t="shared" si="12"/>
        <v>325160.79269999987</v>
      </c>
      <c r="H258" s="15">
        <f t="shared" si="13"/>
        <v>0.19884311497486187</v>
      </c>
      <c r="I258" s="16">
        <v>71975.883200000011</v>
      </c>
      <c r="J258" s="16">
        <v>133344.01630000002</v>
      </c>
      <c r="K258" s="17">
        <f t="shared" si="14"/>
        <v>119840.89319999985</v>
      </c>
      <c r="L258" s="15">
        <f t="shared" si="15"/>
        <v>7.3285393073953237E-2</v>
      </c>
    </row>
    <row r="259" spans="1:12" x14ac:dyDescent="0.3">
      <c r="A259" s="18" t="str">
        <v>Nov-26</v>
      </c>
      <c r="B259" s="18" t="str">
        <v>ST018</v>
      </c>
      <c r="C259" s="19">
        <v>1643272</v>
      </c>
      <c r="D259" s="19">
        <v>1305094</v>
      </c>
      <c r="E259" s="13">
        <f>C259*(1+Assumptions!$B$12)</f>
        <v>1692570.1600000001</v>
      </c>
      <c r="F259" s="13">
        <f>D259*(1+Assumptions!$B$12)*(1+Assumptions!$B$13)</f>
        <v>1384574.2246000001</v>
      </c>
      <c r="G259" s="14">
        <f t="shared" ref="G259:G291" si="16">E259-F259</f>
        <v>307995.93540000007</v>
      </c>
      <c r="H259" s="15">
        <f t="shared" ref="H259:H291" si="17">IFERROR(G259/E259,0)</f>
        <v>0.18196937573329311</v>
      </c>
      <c r="I259" s="16">
        <v>69749.856799999994</v>
      </c>
      <c r="J259" s="16">
        <v>127261.3616</v>
      </c>
      <c r="K259" s="17">
        <f t="shared" ref="K259:K291" si="18">E259-F259-I259-J259</f>
        <v>110984.71700000006</v>
      </c>
      <c r="L259" s="15">
        <f t="shared" ref="L259:L291" si="19">IFERROR(K259/E259,0)</f>
        <v>6.5571708412961768E-2</v>
      </c>
    </row>
    <row r="260" spans="1:12" x14ac:dyDescent="0.3">
      <c r="A260" s="18" t="str">
        <v>Nov-26</v>
      </c>
      <c r="B260" s="18" t="str">
        <v>ST019</v>
      </c>
      <c r="C260" s="19">
        <v>1508570</v>
      </c>
      <c r="D260" s="19">
        <v>1214392</v>
      </c>
      <c r="E260" s="13">
        <f>C260*(1+Assumptions!$B$12)</f>
        <v>1553827.1</v>
      </c>
      <c r="F260" s="13">
        <f>D260*(1+Assumptions!$B$12)*(1+Assumptions!$B$13)</f>
        <v>1288348.4728000001</v>
      </c>
      <c r="G260" s="14">
        <f t="shared" si="16"/>
        <v>265478.62719999999</v>
      </c>
      <c r="H260" s="15">
        <f t="shared" si="17"/>
        <v>0.17085467694571679</v>
      </c>
      <c r="I260" s="16">
        <v>16625.159200000002</v>
      </c>
      <c r="J260" s="16">
        <v>25913.893599999999</v>
      </c>
      <c r="K260" s="17">
        <f t="shared" si="18"/>
        <v>222939.57439999998</v>
      </c>
      <c r="L260" s="15">
        <f t="shared" si="19"/>
        <v>0.14347772310059465</v>
      </c>
    </row>
    <row r="261" spans="1:12" x14ac:dyDescent="0.3">
      <c r="A261" s="18" t="str">
        <v>Nov-26</v>
      </c>
      <c r="B261" s="18" t="str">
        <v>ST020</v>
      </c>
      <c r="C261" s="19">
        <v>1544509</v>
      </c>
      <c r="D261" s="19">
        <v>1226704</v>
      </c>
      <c r="E261" s="13">
        <f>C261*(1+Assumptions!$B$12)</f>
        <v>1590844.27</v>
      </c>
      <c r="F261" s="13">
        <f>D261*(1+Assumptions!$B$12)*(1+Assumptions!$B$13)</f>
        <v>1301410.2736000002</v>
      </c>
      <c r="G261" s="14">
        <f t="shared" si="16"/>
        <v>289433.99639999983</v>
      </c>
      <c r="H261" s="15">
        <f t="shared" si="17"/>
        <v>0.18193735355378302</v>
      </c>
      <c r="I261" s="16">
        <v>15743.1456</v>
      </c>
      <c r="J261" s="16">
        <v>26190.458900000001</v>
      </c>
      <c r="K261" s="17">
        <f t="shared" si="18"/>
        <v>247500.39189999984</v>
      </c>
      <c r="L261" s="15">
        <f t="shared" si="19"/>
        <v>0.1555780138680701</v>
      </c>
    </row>
    <row r="262" spans="1:12" x14ac:dyDescent="0.3">
      <c r="A262" s="18" t="str">
        <v>Nov-26</v>
      </c>
      <c r="B262" s="18" t="str">
        <v>ST021</v>
      </c>
      <c r="C262" s="19">
        <v>1767701</v>
      </c>
      <c r="D262" s="19">
        <v>1387537</v>
      </c>
      <c r="E262" s="13">
        <f>C262*(1+Assumptions!$B$12)</f>
        <v>1820732.03</v>
      </c>
      <c r="F262" s="13">
        <f>D262*(1+Assumptions!$B$12)*(1+Assumptions!$B$13)</f>
        <v>1472038.0033000002</v>
      </c>
      <c r="G262" s="14">
        <f t="shared" si="16"/>
        <v>348694.02669999981</v>
      </c>
      <c r="H262" s="15">
        <f t="shared" si="17"/>
        <v>0.19151309525762547</v>
      </c>
      <c r="I262" s="16">
        <v>16258.0288</v>
      </c>
      <c r="J262" s="16">
        <v>25936.234300000004</v>
      </c>
      <c r="K262" s="17">
        <f t="shared" si="18"/>
        <v>306499.76359999983</v>
      </c>
      <c r="L262" s="15">
        <f t="shared" si="19"/>
        <v>0.16833875526427677</v>
      </c>
    </row>
    <row r="263" spans="1:12" x14ac:dyDescent="0.3">
      <c r="A263" s="18" t="str">
        <v>Nov-26</v>
      </c>
      <c r="B263" s="18" t="str">
        <v>ST022</v>
      </c>
      <c r="C263" s="19">
        <v>1471104</v>
      </c>
      <c r="D263" s="19">
        <v>1167663</v>
      </c>
      <c r="E263" s="13">
        <f>C263*(1+Assumptions!$B$12)</f>
        <v>1515237.12</v>
      </c>
      <c r="F263" s="13">
        <f>D263*(1+Assumptions!$B$12)*(1+Assumptions!$B$13)</f>
        <v>1238773.6767000002</v>
      </c>
      <c r="G263" s="14">
        <f t="shared" si="16"/>
        <v>276463.44329999993</v>
      </c>
      <c r="H263" s="15">
        <f t="shared" si="17"/>
        <v>0.18245556398459925</v>
      </c>
      <c r="I263" s="16">
        <v>16695.504800000002</v>
      </c>
      <c r="J263" s="16">
        <v>28103.498500000002</v>
      </c>
      <c r="K263" s="17">
        <f t="shared" si="18"/>
        <v>231664.43999999994</v>
      </c>
      <c r="L263" s="15">
        <f t="shared" si="19"/>
        <v>0.15288989224340011</v>
      </c>
    </row>
    <row r="264" spans="1:12" x14ac:dyDescent="0.3">
      <c r="A264" s="18" t="str">
        <v>Nov-26</v>
      </c>
      <c r="B264" s="18" t="str">
        <v>ST023</v>
      </c>
      <c r="C264" s="19">
        <v>1773164</v>
      </c>
      <c r="D264" s="19">
        <v>1380125</v>
      </c>
      <c r="E264" s="13">
        <f>C264*(1+Assumptions!$B$12)</f>
        <v>1826358.9200000002</v>
      </c>
      <c r="F264" s="13">
        <f>D264*(1+Assumptions!$B$12)*(1+Assumptions!$B$13)</f>
        <v>1464174.6125</v>
      </c>
      <c r="G264" s="14">
        <f t="shared" si="16"/>
        <v>362184.30750000011</v>
      </c>
      <c r="H264" s="15">
        <f t="shared" si="17"/>
        <v>0.1983094908310794</v>
      </c>
      <c r="I264" s="16">
        <v>16941.381600000001</v>
      </c>
      <c r="J264" s="16">
        <v>26843.005099999998</v>
      </c>
      <c r="K264" s="17">
        <f t="shared" si="18"/>
        <v>318399.92080000008</v>
      </c>
      <c r="L264" s="15">
        <f t="shared" si="19"/>
        <v>0.17433589713023115</v>
      </c>
    </row>
    <row r="265" spans="1:12" x14ac:dyDescent="0.3">
      <c r="A265" s="18" t="str">
        <v>Nov-26</v>
      </c>
      <c r="B265" s="18" t="str">
        <v>ST024</v>
      </c>
      <c r="C265" s="19">
        <v>3149646</v>
      </c>
      <c r="D265" s="19">
        <v>2463405</v>
      </c>
      <c r="E265" s="13">
        <f>C265*(1+Assumptions!$B$12)</f>
        <v>3244135.38</v>
      </c>
      <c r="F265" s="13">
        <f>D265*(1+Assumptions!$B$12)*(1+Assumptions!$B$13)</f>
        <v>2613426.3645000001</v>
      </c>
      <c r="G265" s="14">
        <f t="shared" si="16"/>
        <v>630709.01549999975</v>
      </c>
      <c r="H265" s="15">
        <f t="shared" si="17"/>
        <v>0.19441513427223242</v>
      </c>
      <c r="I265" s="16">
        <v>16672.531200000001</v>
      </c>
      <c r="J265" s="16">
        <v>26811.93</v>
      </c>
      <c r="K265" s="17">
        <f t="shared" si="18"/>
        <v>587224.55429999973</v>
      </c>
      <c r="L265" s="15">
        <f t="shared" si="19"/>
        <v>0.18101111252021787</v>
      </c>
    </row>
    <row r="266" spans="1:12" x14ac:dyDescent="0.3">
      <c r="A266" s="18" t="str">
        <v>Nov-26</v>
      </c>
      <c r="B266" s="18" t="str">
        <v>ST025</v>
      </c>
      <c r="C266" s="19">
        <v>1824696</v>
      </c>
      <c r="D266" s="19">
        <v>1424571</v>
      </c>
      <c r="E266" s="13">
        <f>C266*(1+Assumptions!$B$12)</f>
        <v>1879436.8800000001</v>
      </c>
      <c r="F266" s="13">
        <f>D266*(1+Assumptions!$B$12)*(1+Assumptions!$B$13)</f>
        <v>1511327.3739000002</v>
      </c>
      <c r="G266" s="14">
        <f t="shared" si="16"/>
        <v>368109.50609999988</v>
      </c>
      <c r="H266" s="15">
        <f t="shared" si="17"/>
        <v>0.19586159557537247</v>
      </c>
      <c r="I266" s="16">
        <v>16967.932799999999</v>
      </c>
      <c r="J266" s="16">
        <v>31489.5514</v>
      </c>
      <c r="K266" s="17">
        <f t="shared" si="18"/>
        <v>319652.02189999988</v>
      </c>
      <c r="L266" s="15">
        <f t="shared" si="19"/>
        <v>0.17007861519669651</v>
      </c>
    </row>
    <row r="267" spans="1:12" x14ac:dyDescent="0.3">
      <c r="A267" s="18" t="str">
        <v>Dec-26</v>
      </c>
      <c r="B267" s="18" t="str">
        <v>ST001</v>
      </c>
      <c r="C267" s="19">
        <v>1561951</v>
      </c>
      <c r="D267" s="19">
        <v>1200219</v>
      </c>
      <c r="E267" s="13">
        <f>C267*(1+Assumptions!$B$12)</f>
        <v>1608809.53</v>
      </c>
      <c r="F267" s="13">
        <f>D267*(1+Assumptions!$B$12)*(1+Assumptions!$B$13)</f>
        <v>1273312.3371000001</v>
      </c>
      <c r="G267" s="14">
        <f t="shared" si="16"/>
        <v>335497.19289999991</v>
      </c>
      <c r="H267" s="15">
        <f t="shared" si="17"/>
        <v>0.20853754695249715</v>
      </c>
      <c r="I267" s="16">
        <v>70282.763200000001</v>
      </c>
      <c r="J267" s="16">
        <v>127533.9408</v>
      </c>
      <c r="K267" s="17">
        <f t="shared" si="18"/>
        <v>137680.48889999994</v>
      </c>
      <c r="L267" s="15">
        <f t="shared" si="19"/>
        <v>8.5579110722945523E-2</v>
      </c>
    </row>
    <row r="268" spans="1:12" x14ac:dyDescent="0.3">
      <c r="A268" s="18" t="str">
        <v>Dec-26</v>
      </c>
      <c r="B268" s="18" t="str">
        <v>ST002</v>
      </c>
      <c r="C268" s="19">
        <v>1648311</v>
      </c>
      <c r="D268" s="19">
        <v>1292279</v>
      </c>
      <c r="E268" s="13">
        <f>C268*(1+Assumptions!$B$12)</f>
        <v>1697760.33</v>
      </c>
      <c r="F268" s="13">
        <f>D268*(1+Assumptions!$B$12)*(1+Assumptions!$B$13)</f>
        <v>1370978.7911000003</v>
      </c>
      <c r="G268" s="14">
        <f t="shared" si="16"/>
        <v>326781.53889999981</v>
      </c>
      <c r="H268" s="15">
        <f t="shared" si="17"/>
        <v>0.19247801537452569</v>
      </c>
      <c r="I268" s="16">
        <v>71337.832800000004</v>
      </c>
      <c r="J268" s="16">
        <v>122643.09910000001</v>
      </c>
      <c r="K268" s="17">
        <f t="shared" si="18"/>
        <v>132800.60699999979</v>
      </c>
      <c r="L268" s="15">
        <f t="shared" si="19"/>
        <v>7.8221056678830392E-2</v>
      </c>
    </row>
    <row r="269" spans="1:12" x14ac:dyDescent="0.3">
      <c r="A269" s="18" t="str">
        <v>Dec-26</v>
      </c>
      <c r="B269" s="18" t="str">
        <v>ST003</v>
      </c>
      <c r="C269" s="19">
        <v>1665628</v>
      </c>
      <c r="D269" s="19">
        <v>1304330</v>
      </c>
      <c r="E269" s="13">
        <f>C269*(1+Assumptions!$B$12)</f>
        <v>1715596.84</v>
      </c>
      <c r="F269" s="13">
        <f>D269*(1+Assumptions!$B$12)*(1+Assumptions!$B$13)</f>
        <v>1383763.6970000002</v>
      </c>
      <c r="G269" s="14">
        <f t="shared" si="16"/>
        <v>331833.14299999992</v>
      </c>
      <c r="H269" s="15">
        <f t="shared" si="17"/>
        <v>0.19342140021661494</v>
      </c>
      <c r="I269" s="16">
        <v>72850.970399999991</v>
      </c>
      <c r="J269" s="16">
        <v>120475.05210000002</v>
      </c>
      <c r="K269" s="17">
        <f t="shared" si="18"/>
        <v>138507.1204999999</v>
      </c>
      <c r="L269" s="15">
        <f t="shared" si="19"/>
        <v>8.0734072988849701E-2</v>
      </c>
    </row>
    <row r="270" spans="1:12" x14ac:dyDescent="0.3">
      <c r="A270" s="18" t="str">
        <v>Dec-26</v>
      </c>
      <c r="B270" s="18" t="str">
        <v>ST004</v>
      </c>
      <c r="C270" s="19">
        <v>1661728</v>
      </c>
      <c r="D270" s="19">
        <v>1261513</v>
      </c>
      <c r="E270" s="13">
        <f>C270*(1+Assumptions!$B$12)</f>
        <v>1711579.84</v>
      </c>
      <c r="F270" s="13">
        <f>D270*(1+Assumptions!$B$12)*(1+Assumptions!$B$13)</f>
        <v>1338339.1417000003</v>
      </c>
      <c r="G270" s="14">
        <f t="shared" si="16"/>
        <v>373240.69829999981</v>
      </c>
      <c r="H270" s="15">
        <f t="shared" si="17"/>
        <v>0.21806794493442958</v>
      </c>
      <c r="I270" s="16">
        <v>70815.191200000001</v>
      </c>
      <c r="J270" s="16">
        <v>132897.6349</v>
      </c>
      <c r="K270" s="17">
        <f t="shared" si="18"/>
        <v>169527.87219999981</v>
      </c>
      <c r="L270" s="15">
        <f t="shared" si="19"/>
        <v>9.9047598153528024E-2</v>
      </c>
    </row>
    <row r="271" spans="1:12" x14ac:dyDescent="0.3">
      <c r="A271" s="18" t="str">
        <v>Dec-26</v>
      </c>
      <c r="B271" s="18" t="str">
        <v>ST005</v>
      </c>
      <c r="C271" s="19">
        <v>1593261</v>
      </c>
      <c r="D271" s="19">
        <v>1208629</v>
      </c>
      <c r="E271" s="13">
        <f>C271*(1+Assumptions!$B$12)</f>
        <v>1641058.83</v>
      </c>
      <c r="F271" s="13">
        <f>D271*(1+Assumptions!$B$12)*(1+Assumptions!$B$13)</f>
        <v>1282234.5061000001</v>
      </c>
      <c r="G271" s="14">
        <f t="shared" si="16"/>
        <v>358824.32389999996</v>
      </c>
      <c r="H271" s="15">
        <f t="shared" si="17"/>
        <v>0.21865415019886883</v>
      </c>
      <c r="I271" s="16">
        <v>71822.680800000002</v>
      </c>
      <c r="J271" s="16">
        <v>120787.63650000001</v>
      </c>
      <c r="K271" s="17">
        <f t="shared" si="18"/>
        <v>166214.00659999996</v>
      </c>
      <c r="L271" s="15">
        <f t="shared" si="19"/>
        <v>0.10128461183807771</v>
      </c>
    </row>
    <row r="272" spans="1:12" x14ac:dyDescent="0.3">
      <c r="A272" s="18" t="str">
        <v>Dec-26</v>
      </c>
      <c r="B272" s="18" t="str">
        <v>ST006</v>
      </c>
      <c r="C272" s="19">
        <v>1567163</v>
      </c>
      <c r="D272" s="19">
        <v>1191943</v>
      </c>
      <c r="E272" s="13">
        <f>C272*(1+Assumptions!$B$12)</f>
        <v>1614177.8900000001</v>
      </c>
      <c r="F272" s="13">
        <f>D272*(1+Assumptions!$B$12)*(1+Assumptions!$B$13)</f>
        <v>1264532.3287000002</v>
      </c>
      <c r="G272" s="14">
        <f t="shared" si="16"/>
        <v>349645.56129999994</v>
      </c>
      <c r="H272" s="15">
        <f t="shared" si="17"/>
        <v>0.21660906363920021</v>
      </c>
      <c r="I272" s="16">
        <v>72159.058400000009</v>
      </c>
      <c r="J272" s="16">
        <v>121611.07</v>
      </c>
      <c r="K272" s="17">
        <f t="shared" si="18"/>
        <v>155875.43289999996</v>
      </c>
      <c r="L272" s="15">
        <f t="shared" si="19"/>
        <v>9.6566452722258472E-2</v>
      </c>
    </row>
    <row r="273" spans="1:12" x14ac:dyDescent="0.3">
      <c r="A273" s="18" t="str">
        <v>Dec-26</v>
      </c>
      <c r="B273" s="18" t="str">
        <v>ST007</v>
      </c>
      <c r="C273" s="19">
        <v>1650962</v>
      </c>
      <c r="D273" s="19">
        <v>1264362</v>
      </c>
      <c r="E273" s="13">
        <f>C273*(1+Assumptions!$B$12)</f>
        <v>1700490.86</v>
      </c>
      <c r="F273" s="13">
        <f>D273*(1+Assumptions!$B$12)*(1+Assumptions!$B$13)</f>
        <v>1341361.6458000001</v>
      </c>
      <c r="G273" s="14">
        <f t="shared" si="16"/>
        <v>359129.21420000005</v>
      </c>
      <c r="H273" s="15">
        <f t="shared" si="17"/>
        <v>0.21119149925921979</v>
      </c>
      <c r="I273" s="16">
        <v>73523.611199999999</v>
      </c>
      <c r="J273" s="16">
        <v>116763.5089</v>
      </c>
      <c r="K273" s="17">
        <f t="shared" si="18"/>
        <v>168842.09410000005</v>
      </c>
      <c r="L273" s="15">
        <f t="shared" si="19"/>
        <v>9.9290209710389168E-2</v>
      </c>
    </row>
    <row r="274" spans="1:12" x14ac:dyDescent="0.3">
      <c r="A274" s="18" t="str">
        <v>Dec-26</v>
      </c>
      <c r="B274" s="18" t="str">
        <v>ST008</v>
      </c>
      <c r="C274" s="19">
        <v>1734416</v>
      </c>
      <c r="D274" s="19">
        <v>1320687</v>
      </c>
      <c r="E274" s="13">
        <f>C274*(1+Assumptions!$B$12)</f>
        <v>1786448.48</v>
      </c>
      <c r="F274" s="13">
        <f>D274*(1+Assumptions!$B$12)*(1+Assumptions!$B$13)</f>
        <v>1401116.8383000002</v>
      </c>
      <c r="G274" s="14">
        <f t="shared" si="16"/>
        <v>385331.6416999998</v>
      </c>
      <c r="H274" s="15">
        <f t="shared" si="17"/>
        <v>0.21569703577457761</v>
      </c>
      <c r="I274" s="16">
        <v>71207.344000000012</v>
      </c>
      <c r="J274" s="16">
        <v>143166.60100000002</v>
      </c>
      <c r="K274" s="17">
        <f t="shared" si="18"/>
        <v>170957.69669999974</v>
      </c>
      <c r="L274" s="15">
        <f t="shared" si="19"/>
        <v>9.5696964459898531E-2</v>
      </c>
    </row>
    <row r="275" spans="1:12" x14ac:dyDescent="0.3">
      <c r="A275" s="18" t="str">
        <v>Dec-26</v>
      </c>
      <c r="B275" s="18" t="str">
        <v>ST009</v>
      </c>
      <c r="C275" s="19">
        <v>1554238</v>
      </c>
      <c r="D275" s="19">
        <v>1196208</v>
      </c>
      <c r="E275" s="13">
        <f>C275*(1+Assumptions!$B$12)</f>
        <v>1600865.1400000001</v>
      </c>
      <c r="F275" s="13">
        <f>D275*(1+Assumptions!$B$12)*(1+Assumptions!$B$13)</f>
        <v>1269057.0671999999</v>
      </c>
      <c r="G275" s="14">
        <f t="shared" si="16"/>
        <v>331808.0728000002</v>
      </c>
      <c r="H275" s="15">
        <f t="shared" si="17"/>
        <v>0.20726797311608658</v>
      </c>
      <c r="I275" s="16">
        <v>70996.681599999996</v>
      </c>
      <c r="J275" s="16">
        <v>118377.45710000001</v>
      </c>
      <c r="K275" s="17">
        <f t="shared" si="18"/>
        <v>142433.93410000019</v>
      </c>
      <c r="L275" s="15">
        <f t="shared" si="19"/>
        <v>8.8973099945195991E-2</v>
      </c>
    </row>
    <row r="276" spans="1:12" x14ac:dyDescent="0.3">
      <c r="A276" s="18" t="str">
        <v>Dec-26</v>
      </c>
      <c r="B276" s="18" t="str">
        <v>ST010</v>
      </c>
      <c r="C276" s="19">
        <v>1747584</v>
      </c>
      <c r="D276" s="19">
        <v>1357459</v>
      </c>
      <c r="E276" s="13">
        <f>C276*(1+Assumptions!$B$12)</f>
        <v>1800011.52</v>
      </c>
      <c r="F276" s="13">
        <f>D276*(1+Assumptions!$B$12)*(1+Assumptions!$B$13)</f>
        <v>1440128.2531000001</v>
      </c>
      <c r="G276" s="14">
        <f t="shared" si="16"/>
        <v>359883.26689999993</v>
      </c>
      <c r="H276" s="15">
        <f t="shared" si="17"/>
        <v>0.19993386870101806</v>
      </c>
      <c r="I276" s="16">
        <v>73070.940800000011</v>
      </c>
      <c r="J276" s="16">
        <v>116152.5953</v>
      </c>
      <c r="K276" s="17">
        <f t="shared" si="18"/>
        <v>170659.73079999996</v>
      </c>
      <c r="L276" s="15">
        <f t="shared" si="19"/>
        <v>9.481035476928501E-2</v>
      </c>
    </row>
    <row r="277" spans="1:12" x14ac:dyDescent="0.3">
      <c r="A277" s="18" t="str">
        <v>Dec-26</v>
      </c>
      <c r="B277" s="18" t="str">
        <v>ST011</v>
      </c>
      <c r="C277" s="19">
        <v>1740931</v>
      </c>
      <c r="D277" s="19">
        <v>1328757</v>
      </c>
      <c r="E277" s="13">
        <f>C277*(1+Assumptions!$B$12)</f>
        <v>1793158.93</v>
      </c>
      <c r="F277" s="13">
        <f>D277*(1+Assumptions!$B$12)*(1+Assumptions!$B$13)</f>
        <v>1409678.3012999999</v>
      </c>
      <c r="G277" s="14">
        <f t="shared" si="16"/>
        <v>383480.6287</v>
      </c>
      <c r="H277" s="15">
        <f t="shared" si="17"/>
        <v>0.21385757965134747</v>
      </c>
      <c r="I277" s="16">
        <v>71337.801599999992</v>
      </c>
      <c r="J277" s="16">
        <v>142074.4817</v>
      </c>
      <c r="K277" s="17">
        <f t="shared" si="18"/>
        <v>170068.34539999999</v>
      </c>
      <c r="L277" s="15">
        <f t="shared" si="19"/>
        <v>9.484287340888406E-2</v>
      </c>
    </row>
    <row r="278" spans="1:12" x14ac:dyDescent="0.3">
      <c r="A278" s="18" t="str">
        <v>Dec-26</v>
      </c>
      <c r="B278" s="18" t="str">
        <v>ST012</v>
      </c>
      <c r="C278" s="19">
        <v>1648081</v>
      </c>
      <c r="D278" s="19">
        <v>1265019</v>
      </c>
      <c r="E278" s="13">
        <f>C278*(1+Assumptions!$B$12)</f>
        <v>1697523.43</v>
      </c>
      <c r="F278" s="13">
        <f>D278*(1+Assumptions!$B$12)*(1+Assumptions!$B$13)</f>
        <v>1342058.6571000002</v>
      </c>
      <c r="G278" s="14">
        <f t="shared" si="16"/>
        <v>355464.77289999975</v>
      </c>
      <c r="H278" s="15">
        <f t="shared" si="17"/>
        <v>0.20940198327630727</v>
      </c>
      <c r="I278" s="16">
        <v>71431.952800000014</v>
      </c>
      <c r="J278" s="16">
        <v>117070.19140000001</v>
      </c>
      <c r="K278" s="17">
        <f t="shared" si="18"/>
        <v>166962.62869999971</v>
      </c>
      <c r="L278" s="15">
        <f t="shared" si="19"/>
        <v>9.8356597469761997E-2</v>
      </c>
    </row>
    <row r="279" spans="1:12" x14ac:dyDescent="0.3">
      <c r="A279" s="18" t="str">
        <v>Dec-26</v>
      </c>
      <c r="B279" s="18" t="str">
        <v>ST013</v>
      </c>
      <c r="C279" s="19">
        <v>1709096</v>
      </c>
      <c r="D279" s="19">
        <v>1335753</v>
      </c>
      <c r="E279" s="13">
        <f>C279*(1+Assumptions!$B$12)</f>
        <v>1760368.8800000001</v>
      </c>
      <c r="F279" s="13">
        <f>D279*(1+Assumptions!$B$12)*(1+Assumptions!$B$13)</f>
        <v>1417100.3577000001</v>
      </c>
      <c r="G279" s="14">
        <f t="shared" si="16"/>
        <v>343268.52230000007</v>
      </c>
      <c r="H279" s="15">
        <f t="shared" si="17"/>
        <v>0.19499806330364125</v>
      </c>
      <c r="I279" s="16">
        <v>71582.16</v>
      </c>
      <c r="J279" s="16">
        <v>117979.496</v>
      </c>
      <c r="K279" s="17">
        <f t="shared" si="18"/>
        <v>153706.86630000005</v>
      </c>
      <c r="L279" s="15">
        <f t="shared" si="19"/>
        <v>8.7315146300473143E-2</v>
      </c>
    </row>
    <row r="280" spans="1:12" x14ac:dyDescent="0.3">
      <c r="A280" s="18" t="str">
        <v>Dec-26</v>
      </c>
      <c r="B280" s="18" t="str">
        <v>ST014</v>
      </c>
      <c r="C280" s="19">
        <v>1620074</v>
      </c>
      <c r="D280" s="19">
        <v>1268183</v>
      </c>
      <c r="E280" s="13">
        <f>C280*(1+Assumptions!$B$12)</f>
        <v>1668676.22</v>
      </c>
      <c r="F280" s="13">
        <f>D280*(1+Assumptions!$B$12)*(1+Assumptions!$B$13)</f>
        <v>1345415.3447</v>
      </c>
      <c r="G280" s="14">
        <f t="shared" si="16"/>
        <v>323260.87529999996</v>
      </c>
      <c r="H280" s="15">
        <f t="shared" si="17"/>
        <v>0.19372294722339842</v>
      </c>
      <c r="I280" s="16">
        <v>71414.397600000011</v>
      </c>
      <c r="J280" s="16">
        <v>122792.72720000001</v>
      </c>
      <c r="K280" s="17">
        <f t="shared" si="18"/>
        <v>129053.75049999992</v>
      </c>
      <c r="L280" s="15">
        <f t="shared" si="19"/>
        <v>7.7339000192619703E-2</v>
      </c>
    </row>
    <row r="281" spans="1:12" x14ac:dyDescent="0.3">
      <c r="A281" s="18" t="str">
        <v>Dec-26</v>
      </c>
      <c r="B281" s="18" t="str">
        <v>ST015</v>
      </c>
      <c r="C281" s="19">
        <v>1592946</v>
      </c>
      <c r="D281" s="19">
        <v>1216743</v>
      </c>
      <c r="E281" s="13">
        <f>C281*(1+Assumptions!$B$12)</f>
        <v>1640734.3800000001</v>
      </c>
      <c r="F281" s="13">
        <f>D281*(1+Assumptions!$B$12)*(1+Assumptions!$B$13)</f>
        <v>1290842.6487</v>
      </c>
      <c r="G281" s="14">
        <f t="shared" si="16"/>
        <v>349891.7313000001</v>
      </c>
      <c r="H281" s="15">
        <f t="shared" si="17"/>
        <v>0.2132531234580457</v>
      </c>
      <c r="I281" s="16">
        <v>70594.3992</v>
      </c>
      <c r="J281" s="16">
        <v>117295.83349999999</v>
      </c>
      <c r="K281" s="17">
        <f t="shared" si="18"/>
        <v>162001.49860000011</v>
      </c>
      <c r="L281" s="15">
        <f t="shared" si="19"/>
        <v>9.8737187795138473E-2</v>
      </c>
    </row>
    <row r="282" spans="1:12" x14ac:dyDescent="0.3">
      <c r="A282" s="18" t="str">
        <v>Dec-26</v>
      </c>
      <c r="B282" s="18" t="str">
        <v>ST016</v>
      </c>
      <c r="C282" s="19">
        <v>1601070</v>
      </c>
      <c r="D282" s="19">
        <v>1242182</v>
      </c>
      <c r="E282" s="13">
        <f>C282*(1+Assumptions!$B$12)</f>
        <v>1649102.1</v>
      </c>
      <c r="F282" s="13">
        <f>D282*(1+Assumptions!$B$12)*(1+Assumptions!$B$13)</f>
        <v>1317830.8838</v>
      </c>
      <c r="G282" s="14">
        <f t="shared" si="16"/>
        <v>331271.21620000014</v>
      </c>
      <c r="H282" s="15">
        <f t="shared" si="17"/>
        <v>0.20087974916774415</v>
      </c>
      <c r="I282" s="16">
        <v>73921.931200000006</v>
      </c>
      <c r="J282" s="16">
        <v>122796.47640000001</v>
      </c>
      <c r="K282" s="17">
        <f t="shared" si="18"/>
        <v>134552.80860000013</v>
      </c>
      <c r="L282" s="15">
        <f t="shared" si="19"/>
        <v>8.1591557369310327E-2</v>
      </c>
    </row>
    <row r="283" spans="1:12" x14ac:dyDescent="0.3">
      <c r="A283" s="18" t="str">
        <v>Dec-26</v>
      </c>
      <c r="B283" s="18" t="str">
        <v>ST017</v>
      </c>
      <c r="C283" s="19">
        <v>1693224</v>
      </c>
      <c r="D283" s="19">
        <v>1281831</v>
      </c>
      <c r="E283" s="13">
        <f>C283*(1+Assumptions!$B$12)</f>
        <v>1744020.72</v>
      </c>
      <c r="F283" s="13">
        <f>D283*(1+Assumptions!$B$12)*(1+Assumptions!$B$13)</f>
        <v>1359894.5079000001</v>
      </c>
      <c r="G283" s="14">
        <f t="shared" si="16"/>
        <v>384126.21209999989</v>
      </c>
      <c r="H283" s="15">
        <f t="shared" si="17"/>
        <v>0.22025323879179595</v>
      </c>
      <c r="I283" s="16">
        <v>70660.22080000001</v>
      </c>
      <c r="J283" s="16">
        <v>134509.31710000001</v>
      </c>
      <c r="K283" s="17">
        <f t="shared" si="18"/>
        <v>178956.67419999986</v>
      </c>
      <c r="L283" s="15">
        <f t="shared" si="19"/>
        <v>0.10261155280311111</v>
      </c>
    </row>
    <row r="284" spans="1:12" x14ac:dyDescent="0.3">
      <c r="A284" s="18" t="str">
        <v>Dec-26</v>
      </c>
      <c r="B284" s="18" t="str">
        <v>ST018</v>
      </c>
      <c r="C284" s="19">
        <v>1626343</v>
      </c>
      <c r="D284" s="19">
        <v>1231880</v>
      </c>
      <c r="E284" s="13">
        <f>C284*(1+Assumptions!$B$12)</f>
        <v>1675133.29</v>
      </c>
      <c r="F284" s="13">
        <f>D284*(1+Assumptions!$B$12)*(1+Assumptions!$B$13)</f>
        <v>1306901.4920000001</v>
      </c>
      <c r="G284" s="14">
        <f t="shared" si="16"/>
        <v>368231.79799999995</v>
      </c>
      <c r="H284" s="15">
        <f t="shared" si="17"/>
        <v>0.21982238679048635</v>
      </c>
      <c r="I284" s="16">
        <v>71668.989600000001</v>
      </c>
      <c r="J284" s="16">
        <v>133489.5656</v>
      </c>
      <c r="K284" s="17">
        <f t="shared" si="18"/>
        <v>163073.24279999998</v>
      </c>
      <c r="L284" s="15">
        <f t="shared" si="19"/>
        <v>9.7349413192069023E-2</v>
      </c>
    </row>
    <row r="285" spans="1:12" x14ac:dyDescent="0.3">
      <c r="A285" s="18" t="str">
        <v>Dec-26</v>
      </c>
      <c r="B285" s="18" t="str">
        <v>ST019</v>
      </c>
      <c r="C285" s="19">
        <v>1619385</v>
      </c>
      <c r="D285" s="19">
        <v>1264262</v>
      </c>
      <c r="E285" s="13">
        <f>C285*(1+Assumptions!$B$12)</f>
        <v>1667966.55</v>
      </c>
      <c r="F285" s="13">
        <f>D285*(1+Assumptions!$B$12)*(1+Assumptions!$B$13)</f>
        <v>1341255.5558000002</v>
      </c>
      <c r="G285" s="14">
        <f t="shared" si="16"/>
        <v>326710.99419999984</v>
      </c>
      <c r="H285" s="15">
        <f t="shared" si="17"/>
        <v>0.19587382864482494</v>
      </c>
      <c r="I285" s="16">
        <v>17123.922400000003</v>
      </c>
      <c r="J285" s="16">
        <v>26987.503799999999</v>
      </c>
      <c r="K285" s="17">
        <f t="shared" si="18"/>
        <v>282599.56799999985</v>
      </c>
      <c r="L285" s="15">
        <f t="shared" si="19"/>
        <v>0.16942759913260841</v>
      </c>
    </row>
    <row r="286" spans="1:12" x14ac:dyDescent="0.3">
      <c r="A286" s="18" t="str">
        <v>Dec-26</v>
      </c>
      <c r="B286" s="18" t="str">
        <v>ST020</v>
      </c>
      <c r="C286" s="19">
        <v>1718692</v>
      </c>
      <c r="D286" s="19">
        <v>1332709</v>
      </c>
      <c r="E286" s="13">
        <f>C286*(1+Assumptions!$B$12)</f>
        <v>1770252.76</v>
      </c>
      <c r="F286" s="13">
        <f>D286*(1+Assumptions!$B$12)*(1+Assumptions!$B$13)</f>
        <v>1413870.9780999999</v>
      </c>
      <c r="G286" s="14">
        <f t="shared" si="16"/>
        <v>356381.78190000006</v>
      </c>
      <c r="H286" s="15">
        <f t="shared" si="17"/>
        <v>0.20131689098453945</v>
      </c>
      <c r="I286" s="16">
        <v>17099.648800000003</v>
      </c>
      <c r="J286" s="16">
        <v>28116.1057</v>
      </c>
      <c r="K286" s="17">
        <f t="shared" si="18"/>
        <v>311166.02740000002</v>
      </c>
      <c r="L286" s="15">
        <f t="shared" si="19"/>
        <v>0.17577491442521465</v>
      </c>
    </row>
    <row r="287" spans="1:12" x14ac:dyDescent="0.3">
      <c r="A287" s="18" t="str">
        <v>Dec-26</v>
      </c>
      <c r="B287" s="18" t="str">
        <v>ST021</v>
      </c>
      <c r="C287" s="19">
        <v>1588155</v>
      </c>
      <c r="D287" s="19">
        <v>1209575</v>
      </c>
      <c r="E287" s="13">
        <f>C287*(1+Assumptions!$B$12)</f>
        <v>1635799.6500000001</v>
      </c>
      <c r="F287" s="13">
        <f>D287*(1+Assumptions!$B$12)*(1+Assumptions!$B$13)</f>
        <v>1283238.1174999999</v>
      </c>
      <c r="G287" s="14">
        <f t="shared" si="16"/>
        <v>352561.5325000002</v>
      </c>
      <c r="H287" s="15">
        <f t="shared" si="17"/>
        <v>0.21552855357317149</v>
      </c>
      <c r="I287" s="16">
        <v>16881.8832</v>
      </c>
      <c r="J287" s="16">
        <v>27166.177900000002</v>
      </c>
      <c r="K287" s="17">
        <f t="shared" si="18"/>
        <v>308513.47140000021</v>
      </c>
      <c r="L287" s="15">
        <f t="shared" si="19"/>
        <v>0.18860101321087835</v>
      </c>
    </row>
    <row r="288" spans="1:12" x14ac:dyDescent="0.3">
      <c r="A288" s="18" t="str">
        <v>Dec-26</v>
      </c>
      <c r="B288" s="18" t="str">
        <v>ST022</v>
      </c>
      <c r="C288" s="19">
        <v>1672231</v>
      </c>
      <c r="D288" s="19">
        <v>1305714</v>
      </c>
      <c r="E288" s="13">
        <f>C288*(1+Assumptions!$B$12)</f>
        <v>1722397.93</v>
      </c>
      <c r="F288" s="13">
        <f>D288*(1+Assumptions!$B$12)*(1+Assumptions!$B$13)</f>
        <v>1385231.9826</v>
      </c>
      <c r="G288" s="14">
        <f t="shared" si="16"/>
        <v>337165.94739999995</v>
      </c>
      <c r="H288" s="15">
        <f t="shared" si="17"/>
        <v>0.19575380434880107</v>
      </c>
      <c r="I288" s="16">
        <v>16326.668799999999</v>
      </c>
      <c r="J288" s="16">
        <v>31576.534900000002</v>
      </c>
      <c r="K288" s="17">
        <f t="shared" si="18"/>
        <v>289262.74369999993</v>
      </c>
      <c r="L288" s="15">
        <f t="shared" si="19"/>
        <v>0.16794187839043673</v>
      </c>
    </row>
    <row r="289" spans="1:12" x14ac:dyDescent="0.3">
      <c r="A289" s="18" t="str">
        <v>Dec-26</v>
      </c>
      <c r="B289" s="18" t="str">
        <v>ST023</v>
      </c>
      <c r="C289" s="19">
        <v>2022508</v>
      </c>
      <c r="D289" s="19">
        <v>1574214</v>
      </c>
      <c r="E289" s="13">
        <f>C289*(1+Assumptions!$B$12)</f>
        <v>2083183.24</v>
      </c>
      <c r="F289" s="13">
        <f>D289*(1+Assumptions!$B$12)*(1+Assumptions!$B$13)</f>
        <v>1670083.6325999999</v>
      </c>
      <c r="G289" s="14">
        <f t="shared" si="16"/>
        <v>413099.6074000001</v>
      </c>
      <c r="H289" s="15">
        <f t="shared" si="17"/>
        <v>0.19830209818700351</v>
      </c>
      <c r="I289" s="16">
        <v>16639.2408</v>
      </c>
      <c r="J289" s="16">
        <v>28167.420299999998</v>
      </c>
      <c r="K289" s="17">
        <f t="shared" si="18"/>
        <v>368292.94630000007</v>
      </c>
      <c r="L289" s="15">
        <f t="shared" si="19"/>
        <v>0.17679335126563331</v>
      </c>
    </row>
    <row r="290" spans="1:12" x14ac:dyDescent="0.3">
      <c r="A290" s="18" t="str">
        <v>Dec-26</v>
      </c>
      <c r="B290" s="18" t="str">
        <v>ST024</v>
      </c>
      <c r="C290" s="19">
        <v>3242555</v>
      </c>
      <c r="D290" s="19">
        <v>2498768</v>
      </c>
      <c r="E290" s="13">
        <f>C290*(1+Assumptions!$B$12)</f>
        <v>3339831.65</v>
      </c>
      <c r="F290" s="13">
        <f>D290*(1+Assumptions!$B$12)*(1+Assumptions!$B$13)</f>
        <v>2650942.9712</v>
      </c>
      <c r="G290" s="14">
        <f t="shared" si="16"/>
        <v>688888.67879999988</v>
      </c>
      <c r="H290" s="15">
        <f t="shared" si="17"/>
        <v>0.20626449204408248</v>
      </c>
      <c r="I290" s="16">
        <v>16885.315200000001</v>
      </c>
      <c r="J290" s="16">
        <v>30802.603199999998</v>
      </c>
      <c r="K290" s="17">
        <f t="shared" si="18"/>
        <v>641200.76039999991</v>
      </c>
      <c r="L290" s="15">
        <f t="shared" si="19"/>
        <v>0.19198595246559805</v>
      </c>
    </row>
    <row r="291" spans="1:12" x14ac:dyDescent="0.3">
      <c r="A291" s="18" t="str">
        <v>Dec-26</v>
      </c>
      <c r="B291" s="18" t="str">
        <v>ST025</v>
      </c>
      <c r="C291" s="19">
        <v>1916548</v>
      </c>
      <c r="D291" s="19">
        <v>1470751</v>
      </c>
      <c r="E291" s="13">
        <f>C291*(1+Assumptions!$B$12)</f>
        <v>1974044.44</v>
      </c>
      <c r="F291" s="13">
        <f>D291*(1+Assumptions!$B$12)*(1+Assumptions!$B$13)</f>
        <v>1560319.7359</v>
      </c>
      <c r="G291" s="14">
        <f t="shared" si="16"/>
        <v>413724.70409999997</v>
      </c>
      <c r="H291" s="15">
        <f t="shared" si="17"/>
        <v>0.20958226457151086</v>
      </c>
      <c r="I291" s="16">
        <v>17329.3328</v>
      </c>
      <c r="J291" s="16">
        <v>30685.862999999998</v>
      </c>
      <c r="K291" s="17">
        <f t="shared" si="18"/>
        <v>365709.50829999999</v>
      </c>
      <c r="L291" s="15">
        <f t="shared" si="19"/>
        <v>0.18525900475675208</v>
      </c>
    </row>
    <row r="292" spans="1:12" x14ac:dyDescent="0.3">
      <c r="A292" s="1" t="s">
        <v>77</v>
      </c>
      <c r="B292" s="1"/>
      <c r="C292" s="31">
        <f>SUM(C2:C291)</f>
        <v>474595610</v>
      </c>
      <c r="D292" s="31">
        <f t="shared" ref="D292:E292" si="20">SUM(D2:D291)</f>
        <v>372380995</v>
      </c>
      <c r="E292" s="31">
        <f t="shared" si="20"/>
        <v>488833478.30000001</v>
      </c>
      <c r="F292" s="31">
        <f>SUM(F2:F291)</f>
        <v>395058997.59549993</v>
      </c>
      <c r="G292" s="31">
        <f t="shared" ref="G292:K292" si="21">SUM(G2:G291)</f>
        <v>93774480.70450002</v>
      </c>
      <c r="H292" s="32">
        <f>G292/E292</f>
        <v>0.19183318014677805</v>
      </c>
      <c r="I292" s="31">
        <f t="shared" si="21"/>
        <v>16583915.067199994</v>
      </c>
      <c r="J292" s="31">
        <f t="shared" si="21"/>
        <v>29826040.279799987</v>
      </c>
      <c r="K292" s="31">
        <f t="shared" si="21"/>
        <v>47364525.357499994</v>
      </c>
      <c r="L292" s="32">
        <f>K292/E292</f>
        <v>9.6892965519092586E-2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41AD-CA2B-4FD8-8186-C6D4A27E9FD9}">
  <dimension ref="A1:J292"/>
  <sheetViews>
    <sheetView workbookViewId="0">
      <pane ySplit="1" topLeftCell="A58" activePane="bottomLeft" state="frozen"/>
      <selection pane="bottomLeft" activeCell="E26" sqref="E26"/>
    </sheetView>
  </sheetViews>
  <sheetFormatPr defaultRowHeight="14.4" x14ac:dyDescent="0.3"/>
  <cols>
    <col min="1" max="1" width="12.88671875" bestFit="1" customWidth="1"/>
    <col min="2" max="2" width="9.88671875" bestFit="1" customWidth="1"/>
    <col min="3" max="3" width="18.33203125" customWidth="1"/>
    <col min="4" max="4" width="17.109375" customWidth="1"/>
    <col min="5" max="5" width="17" customWidth="1"/>
    <col min="6" max="6" width="16.5546875" bestFit="1" customWidth="1"/>
    <col min="7" max="7" width="15.21875" customWidth="1"/>
    <col min="8" max="8" width="19.88671875" bestFit="1" customWidth="1"/>
    <col min="9" max="9" width="16.5546875" bestFit="1" customWidth="1"/>
    <col min="10" max="10" width="20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43</v>
      </c>
      <c r="F1" s="1" t="s">
        <v>44</v>
      </c>
      <c r="G1" t="s">
        <v>4</v>
      </c>
      <c r="H1" t="s">
        <v>5</v>
      </c>
      <c r="I1" t="s">
        <v>45</v>
      </c>
      <c r="J1" t="s">
        <v>46</v>
      </c>
    </row>
    <row r="2" spans="1:10" x14ac:dyDescent="0.3">
      <c r="A2" t="s">
        <v>6</v>
      </c>
      <c r="B2" t="s">
        <v>7</v>
      </c>
      <c r="C2" s="2">
        <v>1629783</v>
      </c>
      <c r="D2" s="2">
        <v>1296230</v>
      </c>
      <c r="E2" s="2">
        <f>historical_actuals3[[#This Row],[net_sales]]-historical_actuals3[[#This Row],[cogs]]</f>
        <v>333553</v>
      </c>
      <c r="F2" s="3">
        <f>IFERROR(historical_actuals3[[#This Row],[gross_profit]]/historical_actuals3[[#This Row],[net_sales]],0)</f>
        <v>0.20466098861014012</v>
      </c>
      <c r="G2" s="2">
        <v>68522.570000000007</v>
      </c>
      <c r="H2" s="2">
        <v>134089.48000000001</v>
      </c>
      <c r="I2" s="2">
        <f>historical_actuals3[[#This Row],[gross_profit]]-historical_actuals3[[#This Row],[labour_cost]]-historical_actuals3[[#This Row],[operating_expenses]]</f>
        <v>130940.94999999998</v>
      </c>
      <c r="J2" s="3">
        <f>IFERROR(historical_actuals3[[#This Row],[operating_profit]]/historical_actuals3[[#This Row],[net_sales]],0)</f>
        <v>8.0342567077948401E-2</v>
      </c>
    </row>
    <row r="3" spans="1:10" x14ac:dyDescent="0.3">
      <c r="A3" t="s">
        <v>6</v>
      </c>
      <c r="B3" t="s">
        <v>8</v>
      </c>
      <c r="C3" s="2">
        <v>1617193</v>
      </c>
      <c r="D3" s="2">
        <v>1283300</v>
      </c>
      <c r="E3" s="2">
        <f>historical_actuals3[[#This Row],[net_sales]]-historical_actuals3[[#This Row],[cogs]]</f>
        <v>333893</v>
      </c>
      <c r="F3" s="3">
        <f>IFERROR(historical_actuals3[[#This Row],[gross_profit]]/historical_actuals3[[#This Row],[net_sales]],0)</f>
        <v>0.20646453453607577</v>
      </c>
      <c r="G3" s="2">
        <v>67998.39</v>
      </c>
      <c r="H3" s="2">
        <v>127208.01</v>
      </c>
      <c r="I3" s="2">
        <f>historical_actuals3[[#This Row],[gross_profit]]-historical_actuals3[[#This Row],[labour_cost]]-historical_actuals3[[#This Row],[operating_expenses]]</f>
        <v>138686.59999999998</v>
      </c>
      <c r="J3" s="3">
        <f>IFERROR(historical_actuals3[[#This Row],[operating_profit]]/historical_actuals3[[#This Row],[net_sales]],0)</f>
        <v>8.5757605925823308E-2</v>
      </c>
    </row>
    <row r="4" spans="1:10" x14ac:dyDescent="0.3">
      <c r="A4" t="s">
        <v>6</v>
      </c>
      <c r="B4" t="s">
        <v>9</v>
      </c>
      <c r="C4" s="2">
        <v>1633880</v>
      </c>
      <c r="D4" s="2">
        <v>1303972</v>
      </c>
      <c r="E4" s="2">
        <f>historical_actuals3[[#This Row],[net_sales]]-historical_actuals3[[#This Row],[cogs]]</f>
        <v>329908</v>
      </c>
      <c r="F4" s="3">
        <f>IFERROR(historical_actuals3[[#This Row],[gross_profit]]/historical_actuals3[[#This Row],[net_sales]],0)</f>
        <v>0.20191690944255392</v>
      </c>
      <c r="G4" s="2">
        <v>69426.47</v>
      </c>
      <c r="H4" s="2">
        <v>125095.49</v>
      </c>
      <c r="I4" s="2">
        <f>historical_actuals3[[#This Row],[gross_profit]]-historical_actuals3[[#This Row],[labour_cost]]-historical_actuals3[[#This Row],[operating_expenses]]</f>
        <v>135386.03999999998</v>
      </c>
      <c r="J4" s="3">
        <f>IFERROR(historical_actuals3[[#This Row],[operating_profit]]/historical_actuals3[[#This Row],[net_sales]],0)</f>
        <v>8.2861678948270359E-2</v>
      </c>
    </row>
    <row r="5" spans="1:10" x14ac:dyDescent="0.3">
      <c r="A5" t="s">
        <v>6</v>
      </c>
      <c r="B5" t="s">
        <v>10</v>
      </c>
      <c r="C5" s="2">
        <v>1620996</v>
      </c>
      <c r="D5" s="2">
        <v>1311164</v>
      </c>
      <c r="E5" s="2">
        <f>historical_actuals3[[#This Row],[net_sales]]-historical_actuals3[[#This Row],[cogs]]</f>
        <v>309832</v>
      </c>
      <c r="F5" s="3">
        <f>IFERROR(historical_actuals3[[#This Row],[gross_profit]]/historical_actuals3[[#This Row],[net_sales]],0)</f>
        <v>0.19113680724690252</v>
      </c>
      <c r="G5" s="2">
        <v>66745.86</v>
      </c>
      <c r="H5" s="2">
        <v>137270.32999999999</v>
      </c>
      <c r="I5" s="2">
        <f>historical_actuals3[[#This Row],[gross_profit]]-historical_actuals3[[#This Row],[labour_cost]]-historical_actuals3[[#This Row],[operating_expenses]]</f>
        <v>105815.81000000003</v>
      </c>
      <c r="J5" s="3">
        <f>IFERROR(historical_actuals3[[#This Row],[operating_profit]]/historical_actuals3[[#This Row],[net_sales]],0)</f>
        <v>6.5278267188814798E-2</v>
      </c>
    </row>
    <row r="6" spans="1:10" x14ac:dyDescent="0.3">
      <c r="A6" t="s">
        <v>6</v>
      </c>
      <c r="B6" t="s">
        <v>11</v>
      </c>
      <c r="C6" s="2">
        <v>1540837</v>
      </c>
      <c r="D6" s="2">
        <v>1232753</v>
      </c>
      <c r="E6" s="2">
        <f>historical_actuals3[[#This Row],[net_sales]]-historical_actuals3[[#This Row],[cogs]]</f>
        <v>308084</v>
      </c>
      <c r="F6" s="3">
        <f>IFERROR(historical_actuals3[[#This Row],[gross_profit]]/historical_actuals3[[#This Row],[net_sales]],0)</f>
        <v>0.19994587357390819</v>
      </c>
      <c r="G6" s="2">
        <v>71156.7</v>
      </c>
      <c r="H6" s="2">
        <v>119525.99</v>
      </c>
      <c r="I6" s="2">
        <f>historical_actuals3[[#This Row],[gross_profit]]-historical_actuals3[[#This Row],[labour_cost]]-historical_actuals3[[#This Row],[operating_expenses]]</f>
        <v>117401.30999999998</v>
      </c>
      <c r="J6" s="3">
        <f>IFERROR(historical_actuals3[[#This Row],[operating_profit]]/historical_actuals3[[#This Row],[net_sales]],0)</f>
        <v>7.6193205381231102E-2</v>
      </c>
    </row>
    <row r="7" spans="1:10" x14ac:dyDescent="0.3">
      <c r="A7" t="s">
        <v>6</v>
      </c>
      <c r="B7" t="s">
        <v>12</v>
      </c>
      <c r="C7" s="2">
        <v>1490262</v>
      </c>
      <c r="D7" s="2">
        <v>1174186</v>
      </c>
      <c r="E7" s="2">
        <f>historical_actuals3[[#This Row],[net_sales]]-historical_actuals3[[#This Row],[cogs]]</f>
        <v>316076</v>
      </c>
      <c r="F7" s="3">
        <f>IFERROR(historical_actuals3[[#This Row],[gross_profit]]/historical_actuals3[[#This Row],[net_sales]],0)</f>
        <v>0.21209424919913411</v>
      </c>
      <c r="G7" s="2">
        <v>70716.210000000006</v>
      </c>
      <c r="H7" s="2">
        <v>115116.98</v>
      </c>
      <c r="I7" s="2">
        <f>historical_actuals3[[#This Row],[gross_profit]]-historical_actuals3[[#This Row],[labour_cost]]-historical_actuals3[[#This Row],[operating_expenses]]</f>
        <v>130242.80999999998</v>
      </c>
      <c r="J7" s="3">
        <f>IFERROR(historical_actuals3[[#This Row],[operating_profit]]/historical_actuals3[[#This Row],[net_sales]],0)</f>
        <v>8.7395914275476383E-2</v>
      </c>
    </row>
    <row r="8" spans="1:10" x14ac:dyDescent="0.3">
      <c r="A8" t="s">
        <v>6</v>
      </c>
      <c r="B8" t="s">
        <v>13</v>
      </c>
      <c r="C8" s="2">
        <v>1722278</v>
      </c>
      <c r="D8" s="2">
        <v>1362688</v>
      </c>
      <c r="E8" s="2">
        <f>historical_actuals3[[#This Row],[net_sales]]-historical_actuals3[[#This Row],[cogs]]</f>
        <v>359590</v>
      </c>
      <c r="F8" s="3">
        <f>IFERROR(historical_actuals3[[#This Row],[gross_profit]]/historical_actuals3[[#This Row],[net_sales]],0)</f>
        <v>0.20878743152963691</v>
      </c>
      <c r="G8" s="2">
        <v>69915.25</v>
      </c>
      <c r="H8" s="2">
        <v>112971.73</v>
      </c>
      <c r="I8" s="2">
        <f>historical_actuals3[[#This Row],[gross_profit]]-historical_actuals3[[#This Row],[labour_cost]]-historical_actuals3[[#This Row],[operating_expenses]]</f>
        <v>176703.02000000002</v>
      </c>
      <c r="J8" s="3">
        <f>IFERROR(historical_actuals3[[#This Row],[operating_profit]]/historical_actuals3[[#This Row],[net_sales]],0)</f>
        <v>0.10259843068308369</v>
      </c>
    </row>
    <row r="9" spans="1:10" x14ac:dyDescent="0.3">
      <c r="A9" t="s">
        <v>6</v>
      </c>
      <c r="B9" t="s">
        <v>14</v>
      </c>
      <c r="C9" s="2">
        <v>1766395</v>
      </c>
      <c r="D9" s="2">
        <v>1385977</v>
      </c>
      <c r="E9" s="2">
        <f>historical_actuals3[[#This Row],[net_sales]]-historical_actuals3[[#This Row],[cogs]]</f>
        <v>380418</v>
      </c>
      <c r="F9" s="3">
        <f>IFERROR(historical_actuals3[[#This Row],[gross_profit]]/historical_actuals3[[#This Row],[net_sales]],0)</f>
        <v>0.21536406069990008</v>
      </c>
      <c r="G9" s="2">
        <v>69839.73</v>
      </c>
      <c r="H9" s="2">
        <v>121333.75</v>
      </c>
      <c r="I9" s="2">
        <f>historical_actuals3[[#This Row],[gross_profit]]-historical_actuals3[[#This Row],[labour_cost]]-historical_actuals3[[#This Row],[operating_expenses]]</f>
        <v>189244.52000000002</v>
      </c>
      <c r="J9" s="3">
        <f>IFERROR(historical_actuals3[[#This Row],[operating_profit]]/historical_actuals3[[#This Row],[net_sales]],0)</f>
        <v>0.10713601431163472</v>
      </c>
    </row>
    <row r="10" spans="1:10" x14ac:dyDescent="0.3">
      <c r="A10" t="s">
        <v>6</v>
      </c>
      <c r="B10" t="s">
        <v>15</v>
      </c>
      <c r="C10" s="2">
        <v>1664236</v>
      </c>
      <c r="D10" s="2">
        <v>1302026</v>
      </c>
      <c r="E10" s="2">
        <f>historical_actuals3[[#This Row],[net_sales]]-historical_actuals3[[#This Row],[cogs]]</f>
        <v>362210</v>
      </c>
      <c r="F10" s="3">
        <f>IFERROR(historical_actuals3[[#This Row],[gross_profit]]/historical_actuals3[[#This Row],[net_sales]],0)</f>
        <v>0.21764341115082236</v>
      </c>
      <c r="G10" s="2">
        <v>69505.119999999995</v>
      </c>
      <c r="H10" s="2">
        <v>114453.56</v>
      </c>
      <c r="I10" s="2">
        <f>historical_actuals3[[#This Row],[gross_profit]]-historical_actuals3[[#This Row],[labour_cost]]-historical_actuals3[[#This Row],[operating_expenses]]</f>
        <v>178251.32</v>
      </c>
      <c r="J10" s="3">
        <f>IFERROR(historical_actuals3[[#This Row],[operating_profit]]/historical_actuals3[[#This Row],[net_sales]],0)</f>
        <v>0.10710699684419758</v>
      </c>
    </row>
    <row r="11" spans="1:10" x14ac:dyDescent="0.3">
      <c r="A11" t="s">
        <v>6</v>
      </c>
      <c r="B11" t="s">
        <v>16</v>
      </c>
      <c r="C11" s="2">
        <v>1544021</v>
      </c>
      <c r="D11" s="2">
        <v>1204744</v>
      </c>
      <c r="E11" s="2">
        <f>historical_actuals3[[#This Row],[net_sales]]-historical_actuals3[[#This Row],[cogs]]</f>
        <v>339277</v>
      </c>
      <c r="F11" s="3">
        <f>IFERROR(historical_actuals3[[#This Row],[gross_profit]]/historical_actuals3[[#This Row],[net_sales]],0)</f>
        <v>0.21973600099998639</v>
      </c>
      <c r="G11" s="2">
        <v>73001.52</v>
      </c>
      <c r="H11" s="2">
        <v>114231.17</v>
      </c>
      <c r="I11" s="2">
        <f>historical_actuals3[[#This Row],[gross_profit]]-historical_actuals3[[#This Row],[labour_cost]]-historical_actuals3[[#This Row],[operating_expenses]]</f>
        <v>152044.31</v>
      </c>
      <c r="J11" s="3">
        <f>IFERROR(historical_actuals3[[#This Row],[operating_profit]]/historical_actuals3[[#This Row],[net_sales]],0)</f>
        <v>9.8472954707222241E-2</v>
      </c>
    </row>
    <row r="12" spans="1:10" x14ac:dyDescent="0.3">
      <c r="A12" t="s">
        <v>6</v>
      </c>
      <c r="B12" t="s">
        <v>17</v>
      </c>
      <c r="C12" s="2">
        <v>1408002</v>
      </c>
      <c r="D12" s="2">
        <v>1111514</v>
      </c>
      <c r="E12" s="2">
        <f>historical_actuals3[[#This Row],[net_sales]]-historical_actuals3[[#This Row],[cogs]]</f>
        <v>296488</v>
      </c>
      <c r="F12" s="3">
        <f>IFERROR(historical_actuals3[[#This Row],[gross_profit]]/historical_actuals3[[#This Row],[net_sales]],0)</f>
        <v>0.21057356452618675</v>
      </c>
      <c r="G12" s="2">
        <v>69394.929999999993</v>
      </c>
      <c r="H12" s="2">
        <v>129213.07</v>
      </c>
      <c r="I12" s="2">
        <f>historical_actuals3[[#This Row],[gross_profit]]-historical_actuals3[[#This Row],[labour_cost]]-historical_actuals3[[#This Row],[operating_expenses]]</f>
        <v>97880</v>
      </c>
      <c r="J12" s="3">
        <f>IFERROR(historical_actuals3[[#This Row],[operating_profit]]/historical_actuals3[[#This Row],[net_sales]],0)</f>
        <v>6.9516946708882518E-2</v>
      </c>
    </row>
    <row r="13" spans="1:10" x14ac:dyDescent="0.3">
      <c r="A13" t="s">
        <v>6</v>
      </c>
      <c r="B13" t="s">
        <v>18</v>
      </c>
      <c r="C13" s="2">
        <v>1372555</v>
      </c>
      <c r="D13" s="2">
        <v>1105465</v>
      </c>
      <c r="E13" s="2">
        <f>historical_actuals3[[#This Row],[net_sales]]-historical_actuals3[[#This Row],[cogs]]</f>
        <v>267090</v>
      </c>
      <c r="F13" s="3">
        <f>IFERROR(historical_actuals3[[#This Row],[gross_profit]]/historical_actuals3[[#This Row],[net_sales]],0)</f>
        <v>0.19459329498635755</v>
      </c>
      <c r="G13" s="2">
        <v>68328.77</v>
      </c>
      <c r="H13" s="2">
        <v>128055.69</v>
      </c>
      <c r="I13" s="2">
        <f>historical_actuals3[[#This Row],[gross_profit]]-historical_actuals3[[#This Row],[labour_cost]]-historical_actuals3[[#This Row],[operating_expenses]]</f>
        <v>70705.539999999979</v>
      </c>
      <c r="J13" s="3">
        <f>IFERROR(historical_actuals3[[#This Row],[operating_profit]]/historical_actuals3[[#This Row],[net_sales]],0)</f>
        <v>5.1513811832676996E-2</v>
      </c>
    </row>
    <row r="14" spans="1:10" x14ac:dyDescent="0.3">
      <c r="A14" t="s">
        <v>6</v>
      </c>
      <c r="B14" t="s">
        <v>19</v>
      </c>
      <c r="C14" s="2">
        <v>1469056</v>
      </c>
      <c r="D14" s="2">
        <v>1167472</v>
      </c>
      <c r="E14" s="2">
        <f>historical_actuals3[[#This Row],[net_sales]]-historical_actuals3[[#This Row],[cogs]]</f>
        <v>301584</v>
      </c>
      <c r="F14" s="3">
        <f>IFERROR(historical_actuals3[[#This Row],[gross_profit]]/historical_actuals3[[#This Row],[net_sales]],0)</f>
        <v>0.20529101681624118</v>
      </c>
      <c r="G14" s="2">
        <v>69138.36</v>
      </c>
      <c r="H14" s="2">
        <v>116597.3</v>
      </c>
      <c r="I14" s="2">
        <f>historical_actuals3[[#This Row],[gross_profit]]-historical_actuals3[[#This Row],[labour_cost]]-historical_actuals3[[#This Row],[operating_expenses]]</f>
        <v>115848.34000000001</v>
      </c>
      <c r="J14" s="3">
        <f>IFERROR(historical_actuals3[[#This Row],[operating_profit]]/historical_actuals3[[#This Row],[net_sales]],0)</f>
        <v>7.885903600679621E-2</v>
      </c>
    </row>
    <row r="15" spans="1:10" x14ac:dyDescent="0.3">
      <c r="A15" t="s">
        <v>6</v>
      </c>
      <c r="B15" t="s">
        <v>20</v>
      </c>
      <c r="C15" s="2">
        <v>1618208</v>
      </c>
      <c r="D15" s="2">
        <v>1309506</v>
      </c>
      <c r="E15" s="2">
        <f>historical_actuals3[[#This Row],[net_sales]]-historical_actuals3[[#This Row],[cogs]]</f>
        <v>308702</v>
      </c>
      <c r="F15" s="3">
        <f>IFERROR(historical_actuals3[[#This Row],[gross_profit]]/historical_actuals3[[#This Row],[net_sales]],0)</f>
        <v>0.1907678122960707</v>
      </c>
      <c r="G15" s="2">
        <v>70975.92</v>
      </c>
      <c r="H15" s="2">
        <v>117808.73</v>
      </c>
      <c r="I15" s="2">
        <f>historical_actuals3[[#This Row],[gross_profit]]-historical_actuals3[[#This Row],[labour_cost]]-historical_actuals3[[#This Row],[operating_expenses]]</f>
        <v>119917.35000000002</v>
      </c>
      <c r="J15" s="3">
        <f>IFERROR(historical_actuals3[[#This Row],[operating_profit]]/historical_actuals3[[#This Row],[net_sales]],0)</f>
        <v>7.4105028525381172E-2</v>
      </c>
    </row>
    <row r="16" spans="1:10" x14ac:dyDescent="0.3">
      <c r="A16" t="s">
        <v>6</v>
      </c>
      <c r="B16" t="s">
        <v>21</v>
      </c>
      <c r="C16" s="2">
        <v>1610677</v>
      </c>
      <c r="D16" s="2">
        <v>1281206</v>
      </c>
      <c r="E16" s="2">
        <f>historical_actuals3[[#This Row],[net_sales]]-historical_actuals3[[#This Row],[cogs]]</f>
        <v>329471</v>
      </c>
      <c r="F16" s="3">
        <f>IFERROR(historical_actuals3[[#This Row],[gross_profit]]/historical_actuals3[[#This Row],[net_sales]],0)</f>
        <v>0.204554358198447</v>
      </c>
      <c r="G16" s="2">
        <v>68626.53</v>
      </c>
      <c r="H16" s="2">
        <v>122145.11</v>
      </c>
      <c r="I16" s="2">
        <f>historical_actuals3[[#This Row],[gross_profit]]-historical_actuals3[[#This Row],[labour_cost]]-historical_actuals3[[#This Row],[operating_expenses]]</f>
        <v>138699.35999999999</v>
      </c>
      <c r="J16" s="3">
        <f>IFERROR(historical_actuals3[[#This Row],[operating_profit]]/historical_actuals3[[#This Row],[net_sales]],0)</f>
        <v>8.611246078512326E-2</v>
      </c>
    </row>
    <row r="17" spans="1:10" x14ac:dyDescent="0.3">
      <c r="A17" t="s">
        <v>6</v>
      </c>
      <c r="B17" t="s">
        <v>22</v>
      </c>
      <c r="C17" s="2">
        <v>1553143</v>
      </c>
      <c r="D17" s="2">
        <v>1256411</v>
      </c>
      <c r="E17" s="2">
        <f>historical_actuals3[[#This Row],[net_sales]]-historical_actuals3[[#This Row],[cogs]]</f>
        <v>296732</v>
      </c>
      <c r="F17" s="3">
        <f>IFERROR(historical_actuals3[[#This Row],[gross_profit]]/historical_actuals3[[#This Row],[net_sales]],0)</f>
        <v>0.1910525946419615</v>
      </c>
      <c r="G17" s="2">
        <v>70098.460000000006</v>
      </c>
      <c r="H17" s="2">
        <v>136984.07999999999</v>
      </c>
      <c r="I17" s="2">
        <f>historical_actuals3[[#This Row],[gross_profit]]-historical_actuals3[[#This Row],[labour_cost]]-historical_actuals3[[#This Row],[operating_expenses]]</f>
        <v>89649.459999999992</v>
      </c>
      <c r="J17" s="3">
        <f>IFERROR(historical_actuals3[[#This Row],[operating_profit]]/historical_actuals3[[#This Row],[net_sales]],0)</f>
        <v>5.7721317354551376E-2</v>
      </c>
    </row>
    <row r="18" spans="1:10" x14ac:dyDescent="0.3">
      <c r="A18" t="s">
        <v>6</v>
      </c>
      <c r="B18" t="s">
        <v>23</v>
      </c>
      <c r="C18" s="2">
        <v>1682029</v>
      </c>
      <c r="D18" s="2">
        <v>1321652</v>
      </c>
      <c r="E18" s="2">
        <f>historical_actuals3[[#This Row],[net_sales]]-historical_actuals3[[#This Row],[cogs]]</f>
        <v>360377</v>
      </c>
      <c r="F18" s="3">
        <f>IFERROR(historical_actuals3[[#This Row],[gross_profit]]/historical_actuals3[[#This Row],[net_sales]],0)</f>
        <v>0.21425135951877167</v>
      </c>
      <c r="G18" s="2">
        <v>71925.37</v>
      </c>
      <c r="H18" s="2">
        <v>127307.58</v>
      </c>
      <c r="I18" s="2">
        <f>historical_actuals3[[#This Row],[gross_profit]]-historical_actuals3[[#This Row],[labour_cost]]-historical_actuals3[[#This Row],[operating_expenses]]</f>
        <v>161144.04999999999</v>
      </c>
      <c r="J18" s="3">
        <f>IFERROR(historical_actuals3[[#This Row],[operating_profit]]/historical_actuals3[[#This Row],[net_sales]],0)</f>
        <v>9.5803371998936987E-2</v>
      </c>
    </row>
    <row r="19" spans="1:10" x14ac:dyDescent="0.3">
      <c r="A19" t="s">
        <v>6</v>
      </c>
      <c r="B19" t="s">
        <v>24</v>
      </c>
      <c r="C19" s="2">
        <v>1593168</v>
      </c>
      <c r="D19" s="2">
        <v>1270448</v>
      </c>
      <c r="E19" s="2">
        <f>historical_actuals3[[#This Row],[net_sales]]-historical_actuals3[[#This Row],[cogs]]</f>
        <v>322720</v>
      </c>
      <c r="F19" s="3">
        <f>IFERROR(historical_actuals3[[#This Row],[gross_profit]]/historical_actuals3[[#This Row],[net_sales]],0)</f>
        <v>0.20256495234651964</v>
      </c>
      <c r="G19" s="2">
        <v>70863.149999999994</v>
      </c>
      <c r="H19" s="2">
        <v>118777.13</v>
      </c>
      <c r="I19" s="2">
        <f>historical_actuals3[[#This Row],[gross_profit]]-historical_actuals3[[#This Row],[labour_cost]]-historical_actuals3[[#This Row],[operating_expenses]]</f>
        <v>133079.72</v>
      </c>
      <c r="J19" s="3">
        <f>IFERROR(historical_actuals3[[#This Row],[operating_profit]]/historical_actuals3[[#This Row],[net_sales]],0)</f>
        <v>8.3531504524318845E-2</v>
      </c>
    </row>
    <row r="20" spans="1:10" x14ac:dyDescent="0.3">
      <c r="A20" t="s">
        <v>6</v>
      </c>
      <c r="B20" t="s">
        <v>25</v>
      </c>
      <c r="C20" s="2">
        <v>1560284</v>
      </c>
      <c r="D20" s="2">
        <v>1220282</v>
      </c>
      <c r="E20" s="2">
        <f>historical_actuals3[[#This Row],[net_sales]]-historical_actuals3[[#This Row],[cogs]]</f>
        <v>340002</v>
      </c>
      <c r="F20" s="3">
        <f>IFERROR(historical_actuals3[[#This Row],[gross_profit]]/historical_actuals3[[#This Row],[net_sales]],0)</f>
        <v>0.21791032914520689</v>
      </c>
      <c r="G20" s="2">
        <v>16740.259999999998</v>
      </c>
      <c r="H20" s="2">
        <v>29103.99</v>
      </c>
      <c r="I20" s="2">
        <f>historical_actuals3[[#This Row],[gross_profit]]-historical_actuals3[[#This Row],[labour_cost]]-historical_actuals3[[#This Row],[operating_expenses]]</f>
        <v>294157.75</v>
      </c>
      <c r="J20" s="3">
        <f>IFERROR(historical_actuals3[[#This Row],[operating_profit]]/historical_actuals3[[#This Row],[net_sales]],0)</f>
        <v>0.18852833843069594</v>
      </c>
    </row>
    <row r="21" spans="1:10" x14ac:dyDescent="0.3">
      <c r="A21" t="s">
        <v>6</v>
      </c>
      <c r="B21" t="s">
        <v>26</v>
      </c>
      <c r="C21" s="2">
        <v>1407687</v>
      </c>
      <c r="D21" s="2">
        <v>1105583</v>
      </c>
      <c r="E21" s="2">
        <f>historical_actuals3[[#This Row],[net_sales]]-historical_actuals3[[#This Row],[cogs]]</f>
        <v>302104</v>
      </c>
      <c r="F21" s="3">
        <f>IFERROR(historical_actuals3[[#This Row],[gross_profit]]/historical_actuals3[[#This Row],[net_sales]],0)</f>
        <v>0.21461020809313433</v>
      </c>
      <c r="G21" s="2">
        <v>16272.67</v>
      </c>
      <c r="H21" s="2">
        <v>24864.19</v>
      </c>
      <c r="I21" s="2">
        <f>historical_actuals3[[#This Row],[gross_profit]]-historical_actuals3[[#This Row],[labour_cost]]-historical_actuals3[[#This Row],[operating_expenses]]</f>
        <v>260967.14</v>
      </c>
      <c r="J21" s="3">
        <f>IFERROR(historical_actuals3[[#This Row],[operating_profit]]/historical_actuals3[[#This Row],[net_sales]],0)</f>
        <v>0.18538719189706235</v>
      </c>
    </row>
    <row r="22" spans="1:10" x14ac:dyDescent="0.3">
      <c r="A22" t="s">
        <v>6</v>
      </c>
      <c r="B22" t="s">
        <v>27</v>
      </c>
      <c r="C22" s="2">
        <v>1563663</v>
      </c>
      <c r="D22" s="2">
        <v>1242107</v>
      </c>
      <c r="E22" s="2">
        <f>historical_actuals3[[#This Row],[net_sales]]-historical_actuals3[[#This Row],[cogs]]</f>
        <v>321556</v>
      </c>
      <c r="F22" s="3">
        <f>IFERROR(historical_actuals3[[#This Row],[gross_profit]]/historical_actuals3[[#This Row],[net_sales]],0)</f>
        <v>0.20564277596899075</v>
      </c>
      <c r="G22" s="2">
        <v>16591</v>
      </c>
      <c r="H22" s="2">
        <v>27969.88</v>
      </c>
      <c r="I22" s="2">
        <f>historical_actuals3[[#This Row],[gross_profit]]-historical_actuals3[[#This Row],[labour_cost]]-historical_actuals3[[#This Row],[operating_expenses]]</f>
        <v>276995.12</v>
      </c>
      <c r="J22" s="3">
        <f>IFERROR(historical_actuals3[[#This Row],[operating_profit]]/historical_actuals3[[#This Row],[net_sales]],0)</f>
        <v>0.17714502421557585</v>
      </c>
    </row>
    <row r="23" spans="1:10" x14ac:dyDescent="0.3">
      <c r="A23" t="s">
        <v>6</v>
      </c>
      <c r="B23" t="s">
        <v>28</v>
      </c>
      <c r="C23" s="2">
        <v>1651565</v>
      </c>
      <c r="D23" s="2">
        <v>1311931</v>
      </c>
      <c r="E23" s="2">
        <f>historical_actuals3[[#This Row],[net_sales]]-historical_actuals3[[#This Row],[cogs]]</f>
        <v>339634</v>
      </c>
      <c r="F23" s="3">
        <f>IFERROR(historical_actuals3[[#This Row],[gross_profit]]/historical_actuals3[[#This Row],[net_sales]],0)</f>
        <v>0.20564373790919521</v>
      </c>
      <c r="G23" s="2">
        <v>16512.689999999999</v>
      </c>
      <c r="H23" s="2">
        <v>25485.17</v>
      </c>
      <c r="I23" s="2">
        <f>historical_actuals3[[#This Row],[gross_profit]]-historical_actuals3[[#This Row],[labour_cost]]-historical_actuals3[[#This Row],[operating_expenses]]</f>
        <v>297636.14</v>
      </c>
      <c r="J23" s="3">
        <f>IFERROR(historical_actuals3[[#This Row],[operating_profit]]/historical_actuals3[[#This Row],[net_sales]],0)</f>
        <v>0.18021460856823679</v>
      </c>
    </row>
    <row r="24" spans="1:10" x14ac:dyDescent="0.3">
      <c r="A24" t="s">
        <v>29</v>
      </c>
      <c r="B24" t="s">
        <v>7</v>
      </c>
      <c r="C24" s="2">
        <v>1453835</v>
      </c>
      <c r="D24" s="2">
        <v>1157438</v>
      </c>
      <c r="E24" s="2">
        <f>historical_actuals3[[#This Row],[net_sales]]-historical_actuals3[[#This Row],[cogs]]</f>
        <v>296397</v>
      </c>
      <c r="F24" s="3">
        <f>IFERROR(historical_actuals3[[#This Row],[gross_profit]]/historical_actuals3[[#This Row],[net_sales]],0)</f>
        <v>0.20387251648226931</v>
      </c>
      <c r="G24" s="2">
        <v>62945.33</v>
      </c>
      <c r="H24" s="2">
        <v>125728.76</v>
      </c>
      <c r="I24" s="2">
        <f>historical_actuals3[[#This Row],[gross_profit]]-historical_actuals3[[#This Row],[labour_cost]]-historical_actuals3[[#This Row],[operating_expenses]]</f>
        <v>107722.90999999999</v>
      </c>
      <c r="J24" s="3">
        <f>IFERROR(historical_actuals3[[#This Row],[operating_profit]]/historical_actuals3[[#This Row],[net_sales]],0)</f>
        <v>7.4095691739433978E-2</v>
      </c>
    </row>
    <row r="25" spans="1:10" x14ac:dyDescent="0.3">
      <c r="A25" t="s">
        <v>29</v>
      </c>
      <c r="B25" t="s">
        <v>8</v>
      </c>
      <c r="C25" s="2">
        <v>1544334</v>
      </c>
      <c r="D25" s="2">
        <v>1234715</v>
      </c>
      <c r="E25" s="2">
        <f>historical_actuals3[[#This Row],[net_sales]]-historical_actuals3[[#This Row],[cogs]]</f>
        <v>309619</v>
      </c>
      <c r="F25" s="3">
        <f>IFERROR(historical_actuals3[[#This Row],[gross_profit]]/historical_actuals3[[#This Row],[net_sales]],0)</f>
        <v>0.20048707080204153</v>
      </c>
      <c r="G25" s="2">
        <v>61895.3</v>
      </c>
      <c r="H25" s="2">
        <v>137876.76</v>
      </c>
      <c r="I25" s="2">
        <f>historical_actuals3[[#This Row],[gross_profit]]-historical_actuals3[[#This Row],[labour_cost]]-historical_actuals3[[#This Row],[operating_expenses]]</f>
        <v>109846.94</v>
      </c>
      <c r="J25" s="3">
        <f>IFERROR(historical_actuals3[[#This Row],[operating_profit]]/historical_actuals3[[#This Row],[net_sales]],0)</f>
        <v>7.1129004477010802E-2</v>
      </c>
    </row>
    <row r="26" spans="1:10" x14ac:dyDescent="0.3">
      <c r="A26" t="s">
        <v>29</v>
      </c>
      <c r="B26" t="s">
        <v>9</v>
      </c>
      <c r="C26" s="2">
        <v>1427044</v>
      </c>
      <c r="D26" s="2">
        <v>1141194</v>
      </c>
      <c r="E26" s="2">
        <f>historical_actuals3[[#This Row],[net_sales]]-historical_actuals3[[#This Row],[cogs]]</f>
        <v>285850</v>
      </c>
      <c r="F26" s="3">
        <f>IFERROR(historical_actuals3[[#This Row],[gross_profit]]/historical_actuals3[[#This Row],[net_sales]],0)</f>
        <v>0.20030917056516828</v>
      </c>
      <c r="G26" s="2">
        <v>64185.31</v>
      </c>
      <c r="H26" s="2">
        <v>133872.71</v>
      </c>
      <c r="I26" s="2">
        <f>historical_actuals3[[#This Row],[gross_profit]]-historical_actuals3[[#This Row],[labour_cost]]-historical_actuals3[[#This Row],[operating_expenses]]</f>
        <v>87791.98000000001</v>
      </c>
      <c r="J26" s="3">
        <f>IFERROR(historical_actuals3[[#This Row],[operating_profit]]/historical_actuals3[[#This Row],[net_sales]],0)</f>
        <v>6.1520163358663088E-2</v>
      </c>
    </row>
    <row r="27" spans="1:10" x14ac:dyDescent="0.3">
      <c r="A27" t="s">
        <v>29</v>
      </c>
      <c r="B27" t="s">
        <v>10</v>
      </c>
      <c r="C27" s="2">
        <v>1392310</v>
      </c>
      <c r="D27" s="2">
        <v>1078470</v>
      </c>
      <c r="E27" s="2">
        <f>historical_actuals3[[#This Row],[net_sales]]-historical_actuals3[[#This Row],[cogs]]</f>
        <v>313840</v>
      </c>
      <c r="F27" s="3">
        <f>IFERROR(historical_actuals3[[#This Row],[gross_profit]]/historical_actuals3[[#This Row],[net_sales]],0)</f>
        <v>0.22540957114435722</v>
      </c>
      <c r="G27" s="2">
        <v>60735.87</v>
      </c>
      <c r="H27" s="2">
        <v>135781.07</v>
      </c>
      <c r="I27" s="2">
        <f>historical_actuals3[[#This Row],[gross_profit]]-historical_actuals3[[#This Row],[labour_cost]]-historical_actuals3[[#This Row],[operating_expenses]]</f>
        <v>117323.06</v>
      </c>
      <c r="J27" s="3">
        <f>IFERROR(historical_actuals3[[#This Row],[operating_profit]]/historical_actuals3[[#This Row],[net_sales]],0)</f>
        <v>8.426504154965489E-2</v>
      </c>
    </row>
    <row r="28" spans="1:10" x14ac:dyDescent="0.3">
      <c r="A28" t="s">
        <v>29</v>
      </c>
      <c r="B28" t="s">
        <v>11</v>
      </c>
      <c r="C28" s="2">
        <v>1579876</v>
      </c>
      <c r="D28" s="2">
        <v>1238996</v>
      </c>
      <c r="E28" s="2">
        <f>historical_actuals3[[#This Row],[net_sales]]-historical_actuals3[[#This Row],[cogs]]</f>
        <v>340880</v>
      </c>
      <c r="F28" s="3">
        <f>IFERROR(historical_actuals3[[#This Row],[gross_profit]]/historical_actuals3[[#This Row],[net_sales]],0)</f>
        <v>0.21576376880210851</v>
      </c>
      <c r="G28" s="2">
        <v>65389.01</v>
      </c>
      <c r="H28" s="2">
        <v>134802</v>
      </c>
      <c r="I28" s="2">
        <f>historical_actuals3[[#This Row],[gross_profit]]-historical_actuals3[[#This Row],[labour_cost]]-historical_actuals3[[#This Row],[operating_expenses]]</f>
        <v>140688.99</v>
      </c>
      <c r="J28" s="3">
        <f>IFERROR(historical_actuals3[[#This Row],[operating_profit]]/historical_actuals3[[#This Row],[net_sales]],0)</f>
        <v>8.9050653342414215E-2</v>
      </c>
    </row>
    <row r="29" spans="1:10" x14ac:dyDescent="0.3">
      <c r="A29" t="s">
        <v>29</v>
      </c>
      <c r="B29" t="s">
        <v>12</v>
      </c>
      <c r="C29" s="2">
        <v>1539272</v>
      </c>
      <c r="D29" s="2">
        <v>1244418</v>
      </c>
      <c r="E29" s="2">
        <f>historical_actuals3[[#This Row],[net_sales]]-historical_actuals3[[#This Row],[cogs]]</f>
        <v>294854</v>
      </c>
      <c r="F29" s="3">
        <f>IFERROR(historical_actuals3[[#This Row],[gross_profit]]/historical_actuals3[[#This Row],[net_sales]],0)</f>
        <v>0.19155418925310147</v>
      </c>
      <c r="G29" s="2">
        <v>61222.67</v>
      </c>
      <c r="H29" s="2">
        <v>132878.25</v>
      </c>
      <c r="I29" s="2">
        <f>historical_actuals3[[#This Row],[gross_profit]]-historical_actuals3[[#This Row],[labour_cost]]-historical_actuals3[[#This Row],[operating_expenses]]</f>
        <v>100753.08000000002</v>
      </c>
      <c r="J29" s="3">
        <f>IFERROR(historical_actuals3[[#This Row],[operating_profit]]/historical_actuals3[[#This Row],[net_sales]],0)</f>
        <v>6.5455020295308447E-2</v>
      </c>
    </row>
    <row r="30" spans="1:10" x14ac:dyDescent="0.3">
      <c r="A30" t="s">
        <v>29</v>
      </c>
      <c r="B30" t="s">
        <v>13</v>
      </c>
      <c r="C30" s="2">
        <v>1453896</v>
      </c>
      <c r="D30" s="2">
        <v>1157917</v>
      </c>
      <c r="E30" s="2">
        <f>historical_actuals3[[#This Row],[net_sales]]-historical_actuals3[[#This Row],[cogs]]</f>
        <v>295979</v>
      </c>
      <c r="F30" s="3">
        <f>IFERROR(historical_actuals3[[#This Row],[gross_profit]]/historical_actuals3[[#This Row],[net_sales]],0)</f>
        <v>0.20357645938911725</v>
      </c>
      <c r="G30" s="2">
        <v>62426.8</v>
      </c>
      <c r="H30" s="2">
        <v>134530.21</v>
      </c>
      <c r="I30" s="2">
        <f>historical_actuals3[[#This Row],[gross_profit]]-historical_actuals3[[#This Row],[labour_cost]]-historical_actuals3[[#This Row],[operating_expenses]]</f>
        <v>99021.99000000002</v>
      </c>
      <c r="J30" s="3">
        <f>IFERROR(historical_actuals3[[#This Row],[operating_profit]]/historical_actuals3[[#This Row],[net_sales]],0)</f>
        <v>6.8108028359662606E-2</v>
      </c>
    </row>
    <row r="31" spans="1:10" x14ac:dyDescent="0.3">
      <c r="A31" t="s">
        <v>29</v>
      </c>
      <c r="B31" t="s">
        <v>14</v>
      </c>
      <c r="C31" s="2">
        <v>1279631</v>
      </c>
      <c r="D31" s="2">
        <v>1010728</v>
      </c>
      <c r="E31" s="2">
        <f>historical_actuals3[[#This Row],[net_sales]]-historical_actuals3[[#This Row],[cogs]]</f>
        <v>268903</v>
      </c>
      <c r="F31" s="3">
        <f>IFERROR(historical_actuals3[[#This Row],[gross_profit]]/historical_actuals3[[#This Row],[net_sales]],0)</f>
        <v>0.21014104847413043</v>
      </c>
      <c r="G31" s="2">
        <v>61614.22</v>
      </c>
      <c r="H31" s="2">
        <v>113557.9</v>
      </c>
      <c r="I31" s="2">
        <f>historical_actuals3[[#This Row],[gross_profit]]-historical_actuals3[[#This Row],[labour_cost]]-historical_actuals3[[#This Row],[operating_expenses]]</f>
        <v>93730.880000000005</v>
      </c>
      <c r="J31" s="3">
        <f>IFERROR(historical_actuals3[[#This Row],[operating_profit]]/historical_actuals3[[#This Row],[net_sales]],0)</f>
        <v>7.3248366130548581E-2</v>
      </c>
    </row>
    <row r="32" spans="1:10" x14ac:dyDescent="0.3">
      <c r="A32" t="s">
        <v>29</v>
      </c>
      <c r="B32" t="s">
        <v>15</v>
      </c>
      <c r="C32" s="2">
        <v>1405211</v>
      </c>
      <c r="D32" s="2">
        <v>1106469</v>
      </c>
      <c r="E32" s="2">
        <f>historical_actuals3[[#This Row],[net_sales]]-historical_actuals3[[#This Row],[cogs]]</f>
        <v>298742</v>
      </c>
      <c r="F32" s="3">
        <f>IFERROR(historical_actuals3[[#This Row],[gross_profit]]/historical_actuals3[[#This Row],[net_sales]],0)</f>
        <v>0.2125958308040572</v>
      </c>
      <c r="G32" s="2">
        <v>64455.24</v>
      </c>
      <c r="H32" s="2">
        <v>125387.38</v>
      </c>
      <c r="I32" s="2">
        <f>historical_actuals3[[#This Row],[gross_profit]]-historical_actuals3[[#This Row],[labour_cost]]-historical_actuals3[[#This Row],[operating_expenses]]</f>
        <v>108899.38</v>
      </c>
      <c r="J32" s="3">
        <f>IFERROR(historical_actuals3[[#This Row],[operating_profit]]/historical_actuals3[[#This Row],[net_sales]],0)</f>
        <v>7.7496817203964397E-2</v>
      </c>
    </row>
    <row r="33" spans="1:10" x14ac:dyDescent="0.3">
      <c r="A33" t="s">
        <v>29</v>
      </c>
      <c r="B33" t="s">
        <v>16</v>
      </c>
      <c r="C33" s="2">
        <v>1469979</v>
      </c>
      <c r="D33" s="2">
        <v>1158835</v>
      </c>
      <c r="E33" s="2">
        <f>historical_actuals3[[#This Row],[net_sales]]-historical_actuals3[[#This Row],[cogs]]</f>
        <v>311144</v>
      </c>
      <c r="F33" s="3">
        <f>IFERROR(historical_actuals3[[#This Row],[gross_profit]]/historical_actuals3[[#This Row],[net_sales]],0)</f>
        <v>0.21166560882842544</v>
      </c>
      <c r="G33" s="2">
        <v>65563.13</v>
      </c>
      <c r="H33" s="2">
        <v>129090.14</v>
      </c>
      <c r="I33" s="2">
        <f>historical_actuals3[[#This Row],[gross_profit]]-historical_actuals3[[#This Row],[labour_cost]]-historical_actuals3[[#This Row],[operating_expenses]]</f>
        <v>116490.73</v>
      </c>
      <c r="J33" s="3">
        <f>IFERROR(historical_actuals3[[#This Row],[operating_profit]]/historical_actuals3[[#This Row],[net_sales]],0)</f>
        <v>7.9246526651060994E-2</v>
      </c>
    </row>
    <row r="34" spans="1:10" x14ac:dyDescent="0.3">
      <c r="A34" t="s">
        <v>29</v>
      </c>
      <c r="B34" t="s">
        <v>17</v>
      </c>
      <c r="C34" s="2">
        <v>1436036</v>
      </c>
      <c r="D34" s="2">
        <v>1144663</v>
      </c>
      <c r="E34" s="2">
        <f>historical_actuals3[[#This Row],[net_sales]]-historical_actuals3[[#This Row],[cogs]]</f>
        <v>291373</v>
      </c>
      <c r="F34" s="3">
        <f>IFERROR(historical_actuals3[[#This Row],[gross_profit]]/historical_actuals3[[#This Row],[net_sales]],0)</f>
        <v>0.20290090220579429</v>
      </c>
      <c r="G34" s="2">
        <v>64573.27</v>
      </c>
      <c r="H34" s="2">
        <v>130179.2</v>
      </c>
      <c r="I34" s="2">
        <f>historical_actuals3[[#This Row],[gross_profit]]-historical_actuals3[[#This Row],[labour_cost]]-historical_actuals3[[#This Row],[operating_expenses]]</f>
        <v>96620.530000000013</v>
      </c>
      <c r="J34" s="3">
        <f>IFERROR(historical_actuals3[[#This Row],[operating_profit]]/historical_actuals3[[#This Row],[net_sales]],0)</f>
        <v>6.7282804887899755E-2</v>
      </c>
    </row>
    <row r="35" spans="1:10" x14ac:dyDescent="0.3">
      <c r="A35" t="s">
        <v>29</v>
      </c>
      <c r="B35" t="s">
        <v>18</v>
      </c>
      <c r="C35" s="2">
        <v>1514190</v>
      </c>
      <c r="D35" s="2">
        <v>1193099</v>
      </c>
      <c r="E35" s="2">
        <f>historical_actuals3[[#This Row],[net_sales]]-historical_actuals3[[#This Row],[cogs]]</f>
        <v>321091</v>
      </c>
      <c r="F35" s="3">
        <f>IFERROR(historical_actuals3[[#This Row],[gross_profit]]/historical_actuals3[[#This Row],[net_sales]],0)</f>
        <v>0.2120546298681143</v>
      </c>
      <c r="G35" s="2">
        <v>63161.22</v>
      </c>
      <c r="H35" s="2">
        <v>139427.6</v>
      </c>
      <c r="I35" s="2">
        <f>historical_actuals3[[#This Row],[gross_profit]]-historical_actuals3[[#This Row],[labour_cost]]-historical_actuals3[[#This Row],[operating_expenses]]</f>
        <v>118502.18</v>
      </c>
      <c r="J35" s="3">
        <f>IFERROR(historical_actuals3[[#This Row],[operating_profit]]/historical_actuals3[[#This Row],[net_sales]],0)</f>
        <v>7.8261103296151727E-2</v>
      </c>
    </row>
    <row r="36" spans="1:10" x14ac:dyDescent="0.3">
      <c r="A36" t="s">
        <v>29</v>
      </c>
      <c r="B36" t="s">
        <v>19</v>
      </c>
      <c r="C36" s="2">
        <v>1358789</v>
      </c>
      <c r="D36" s="2">
        <v>1069109</v>
      </c>
      <c r="E36" s="2">
        <f>historical_actuals3[[#This Row],[net_sales]]-historical_actuals3[[#This Row],[cogs]]</f>
        <v>289680</v>
      </c>
      <c r="F36" s="3">
        <f>IFERROR(historical_actuals3[[#This Row],[gross_profit]]/historical_actuals3[[#This Row],[net_sales]],0)</f>
        <v>0.21318983300571318</v>
      </c>
      <c r="G36" s="2">
        <v>65426.080000000002</v>
      </c>
      <c r="H36" s="2">
        <v>110417.15</v>
      </c>
      <c r="I36" s="2">
        <f>historical_actuals3[[#This Row],[gross_profit]]-historical_actuals3[[#This Row],[labour_cost]]-historical_actuals3[[#This Row],[operating_expenses]]</f>
        <v>113836.76999999999</v>
      </c>
      <c r="J36" s="3">
        <f>IFERROR(historical_actuals3[[#This Row],[operating_profit]]/historical_actuals3[[#This Row],[net_sales]],0)</f>
        <v>8.3778106828948415E-2</v>
      </c>
    </row>
    <row r="37" spans="1:10" x14ac:dyDescent="0.3">
      <c r="A37" t="s">
        <v>29</v>
      </c>
      <c r="B37" t="s">
        <v>20</v>
      </c>
      <c r="C37" s="2">
        <v>1370538</v>
      </c>
      <c r="D37" s="2">
        <v>1096920</v>
      </c>
      <c r="E37" s="2">
        <f>historical_actuals3[[#This Row],[net_sales]]-historical_actuals3[[#This Row],[cogs]]</f>
        <v>273618</v>
      </c>
      <c r="F37" s="3">
        <f>IFERROR(historical_actuals3[[#This Row],[gross_profit]]/historical_actuals3[[#This Row],[net_sales]],0)</f>
        <v>0.1996427680224846</v>
      </c>
      <c r="G37" s="2">
        <v>63132.39</v>
      </c>
      <c r="H37" s="2">
        <v>130876.8</v>
      </c>
      <c r="I37" s="2">
        <f>historical_actuals3[[#This Row],[gross_profit]]-historical_actuals3[[#This Row],[labour_cost]]-historical_actuals3[[#This Row],[operating_expenses]]</f>
        <v>79608.809999999983</v>
      </c>
      <c r="J37" s="3">
        <f>IFERROR(historical_actuals3[[#This Row],[operating_profit]]/historical_actuals3[[#This Row],[net_sales]],0)</f>
        <v>5.8085810097932331E-2</v>
      </c>
    </row>
    <row r="38" spans="1:10" x14ac:dyDescent="0.3">
      <c r="A38" t="s">
        <v>29</v>
      </c>
      <c r="B38" t="s">
        <v>21</v>
      </c>
      <c r="C38" s="2">
        <v>1514678</v>
      </c>
      <c r="D38" s="2">
        <v>1209703</v>
      </c>
      <c r="E38" s="2">
        <f>historical_actuals3[[#This Row],[net_sales]]-historical_actuals3[[#This Row],[cogs]]</f>
        <v>304975</v>
      </c>
      <c r="F38" s="3">
        <f>IFERROR(historical_actuals3[[#This Row],[gross_profit]]/historical_actuals3[[#This Row],[net_sales]],0)</f>
        <v>0.20134642478467371</v>
      </c>
      <c r="G38" s="2">
        <v>63383.4</v>
      </c>
      <c r="H38" s="2">
        <v>113617.8</v>
      </c>
      <c r="I38" s="2">
        <f>historical_actuals3[[#This Row],[gross_profit]]-historical_actuals3[[#This Row],[labour_cost]]-historical_actuals3[[#This Row],[operating_expenses]]</f>
        <v>127973.8</v>
      </c>
      <c r="J38" s="3">
        <f>IFERROR(historical_actuals3[[#This Row],[operating_profit]]/historical_actuals3[[#This Row],[net_sales]],0)</f>
        <v>8.4489112537450201E-2</v>
      </c>
    </row>
    <row r="39" spans="1:10" x14ac:dyDescent="0.3">
      <c r="A39" t="s">
        <v>29</v>
      </c>
      <c r="B39" t="s">
        <v>22</v>
      </c>
      <c r="C39" s="2">
        <v>1342383</v>
      </c>
      <c r="D39" s="2">
        <v>1086735</v>
      </c>
      <c r="E39" s="2">
        <f>historical_actuals3[[#This Row],[net_sales]]-historical_actuals3[[#This Row],[cogs]]</f>
        <v>255648</v>
      </c>
      <c r="F39" s="3">
        <f>IFERROR(historical_actuals3[[#This Row],[gross_profit]]/historical_actuals3[[#This Row],[net_sales]],0)</f>
        <v>0.19044341294548575</v>
      </c>
      <c r="G39" s="2">
        <v>63228.61</v>
      </c>
      <c r="H39" s="2">
        <v>110505.87</v>
      </c>
      <c r="I39" s="2">
        <f>historical_actuals3[[#This Row],[gross_profit]]-historical_actuals3[[#This Row],[labour_cost]]-historical_actuals3[[#This Row],[operating_expenses]]</f>
        <v>81913.520000000019</v>
      </c>
      <c r="J39" s="3">
        <f>IFERROR(historical_actuals3[[#This Row],[operating_profit]]/historical_actuals3[[#This Row],[net_sales]],0)</f>
        <v>6.1020975384819397E-2</v>
      </c>
    </row>
    <row r="40" spans="1:10" x14ac:dyDescent="0.3">
      <c r="A40" t="s">
        <v>29</v>
      </c>
      <c r="B40" t="s">
        <v>23</v>
      </c>
      <c r="C40" s="2">
        <v>1415320</v>
      </c>
      <c r="D40" s="2">
        <v>1098695</v>
      </c>
      <c r="E40" s="2">
        <f>historical_actuals3[[#This Row],[net_sales]]-historical_actuals3[[#This Row],[cogs]]</f>
        <v>316625</v>
      </c>
      <c r="F40" s="3">
        <f>IFERROR(historical_actuals3[[#This Row],[gross_profit]]/historical_actuals3[[#This Row],[net_sales]],0)</f>
        <v>0.22371265862137185</v>
      </c>
      <c r="G40" s="2">
        <v>63836.27</v>
      </c>
      <c r="H40" s="2">
        <v>125691.46</v>
      </c>
      <c r="I40" s="2">
        <f>historical_actuals3[[#This Row],[gross_profit]]-historical_actuals3[[#This Row],[labour_cost]]-historical_actuals3[[#This Row],[operating_expenses]]</f>
        <v>127097.27</v>
      </c>
      <c r="J40" s="3">
        <f>IFERROR(historical_actuals3[[#This Row],[operating_profit]]/historical_actuals3[[#This Row],[net_sales]],0)</f>
        <v>8.9801083853828109E-2</v>
      </c>
    </row>
    <row r="41" spans="1:10" x14ac:dyDescent="0.3">
      <c r="A41" t="s">
        <v>29</v>
      </c>
      <c r="B41" t="s">
        <v>24</v>
      </c>
      <c r="C41" s="2">
        <v>1492351</v>
      </c>
      <c r="D41" s="2">
        <v>1177128</v>
      </c>
      <c r="E41" s="2">
        <f>historical_actuals3[[#This Row],[net_sales]]-historical_actuals3[[#This Row],[cogs]]</f>
        <v>315223</v>
      </c>
      <c r="F41" s="3">
        <f>IFERROR(historical_actuals3[[#This Row],[gross_profit]]/historical_actuals3[[#This Row],[net_sales]],0)</f>
        <v>0.21122577731378209</v>
      </c>
      <c r="G41" s="2">
        <v>65021.55</v>
      </c>
      <c r="H41" s="2">
        <v>128541.77</v>
      </c>
      <c r="I41" s="2">
        <f>historical_actuals3[[#This Row],[gross_profit]]-historical_actuals3[[#This Row],[labour_cost]]-historical_actuals3[[#This Row],[operating_expenses]]</f>
        <v>121659.68000000001</v>
      </c>
      <c r="J41" s="3">
        <f>IFERROR(historical_actuals3[[#This Row],[operating_profit]]/historical_actuals3[[#This Row],[net_sales]],0)</f>
        <v>8.1522162011483892E-2</v>
      </c>
    </row>
    <row r="42" spans="1:10" x14ac:dyDescent="0.3">
      <c r="A42" t="s">
        <v>29</v>
      </c>
      <c r="B42" t="s">
        <v>25</v>
      </c>
      <c r="C42" s="2">
        <v>1411028</v>
      </c>
      <c r="D42" s="2">
        <v>1136800</v>
      </c>
      <c r="E42" s="2">
        <f>historical_actuals3[[#This Row],[net_sales]]-historical_actuals3[[#This Row],[cogs]]</f>
        <v>274228</v>
      </c>
      <c r="F42" s="3">
        <f>IFERROR(historical_actuals3[[#This Row],[gross_profit]]/historical_actuals3[[#This Row],[net_sales]],0)</f>
        <v>0.1943462496846271</v>
      </c>
      <c r="G42" s="2">
        <v>15162.38</v>
      </c>
      <c r="H42" s="2">
        <v>25395.200000000001</v>
      </c>
      <c r="I42" s="2">
        <f>historical_actuals3[[#This Row],[gross_profit]]-historical_actuals3[[#This Row],[labour_cost]]-historical_actuals3[[#This Row],[operating_expenses]]</f>
        <v>233670.41999999998</v>
      </c>
      <c r="J42" s="3">
        <f>IFERROR(historical_actuals3[[#This Row],[operating_profit]]/historical_actuals3[[#This Row],[net_sales]],0)</f>
        <v>0.16560296464705165</v>
      </c>
    </row>
    <row r="43" spans="1:10" x14ac:dyDescent="0.3">
      <c r="A43" t="s">
        <v>29</v>
      </c>
      <c r="B43" t="s">
        <v>26</v>
      </c>
      <c r="C43" s="2">
        <v>1530235</v>
      </c>
      <c r="D43" s="2">
        <v>1198309</v>
      </c>
      <c r="E43" s="2">
        <f>historical_actuals3[[#This Row],[net_sales]]-historical_actuals3[[#This Row],[cogs]]</f>
        <v>331926</v>
      </c>
      <c r="F43" s="3">
        <f>IFERROR(historical_actuals3[[#This Row],[gross_profit]]/historical_actuals3[[#This Row],[net_sales]],0)</f>
        <v>0.2169117815237529</v>
      </c>
      <c r="G43" s="2">
        <v>14258.41</v>
      </c>
      <c r="H43" s="2">
        <v>30311.08</v>
      </c>
      <c r="I43" s="2">
        <f>historical_actuals3[[#This Row],[gross_profit]]-historical_actuals3[[#This Row],[labour_cost]]-historical_actuals3[[#This Row],[operating_expenses]]</f>
        <v>287356.51</v>
      </c>
      <c r="J43" s="3">
        <f>IFERROR(historical_actuals3[[#This Row],[operating_profit]]/historical_actuals3[[#This Row],[net_sales]],0)</f>
        <v>0.18778586949063381</v>
      </c>
    </row>
    <row r="44" spans="1:10" x14ac:dyDescent="0.3">
      <c r="A44" t="s">
        <v>29</v>
      </c>
      <c r="B44" t="s">
        <v>27</v>
      </c>
      <c r="C44" s="2">
        <v>1328931</v>
      </c>
      <c r="D44" s="2">
        <v>1049022</v>
      </c>
      <c r="E44" s="2">
        <f>historical_actuals3[[#This Row],[net_sales]]-historical_actuals3[[#This Row],[cogs]]</f>
        <v>279909</v>
      </c>
      <c r="F44" s="3">
        <f>IFERROR(historical_actuals3[[#This Row],[gross_profit]]/historical_actuals3[[#This Row],[net_sales]],0)</f>
        <v>0.21062718831903238</v>
      </c>
      <c r="G44" s="2">
        <v>14224.94</v>
      </c>
      <c r="H44" s="2">
        <v>25802.76</v>
      </c>
      <c r="I44" s="2">
        <f>historical_actuals3[[#This Row],[gross_profit]]-historical_actuals3[[#This Row],[labour_cost]]-historical_actuals3[[#This Row],[operating_expenses]]</f>
        <v>239881.3</v>
      </c>
      <c r="J44" s="3">
        <f>IFERROR(historical_actuals3[[#This Row],[operating_profit]]/historical_actuals3[[#This Row],[net_sales]],0)</f>
        <v>0.18050696386795101</v>
      </c>
    </row>
    <row r="45" spans="1:10" x14ac:dyDescent="0.3">
      <c r="A45" t="s">
        <v>29</v>
      </c>
      <c r="B45" t="s">
        <v>28</v>
      </c>
      <c r="C45" s="2">
        <v>1485406</v>
      </c>
      <c r="D45" s="2">
        <v>1175830</v>
      </c>
      <c r="E45" s="2">
        <f>historical_actuals3[[#This Row],[net_sales]]-historical_actuals3[[#This Row],[cogs]]</f>
        <v>309576</v>
      </c>
      <c r="F45" s="3">
        <f>IFERROR(historical_actuals3[[#This Row],[gross_profit]]/historical_actuals3[[#This Row],[net_sales]],0)</f>
        <v>0.20841170696765732</v>
      </c>
      <c r="G45" s="2">
        <v>15064.13</v>
      </c>
      <c r="H45" s="2">
        <v>27881.55</v>
      </c>
      <c r="I45" s="2">
        <f>historical_actuals3[[#This Row],[gross_profit]]-historical_actuals3[[#This Row],[labour_cost]]-historical_actuals3[[#This Row],[operating_expenses]]</f>
        <v>266630.32</v>
      </c>
      <c r="J45" s="3">
        <f>IFERROR(historical_actuals3[[#This Row],[operating_profit]]/historical_actuals3[[#This Row],[net_sales]],0)</f>
        <v>0.17949996162665291</v>
      </c>
    </row>
    <row r="46" spans="1:10" x14ac:dyDescent="0.3">
      <c r="A46" t="s">
        <v>30</v>
      </c>
      <c r="B46" t="s">
        <v>7</v>
      </c>
      <c r="C46" s="2">
        <v>1748449</v>
      </c>
      <c r="D46" s="2">
        <v>1353661</v>
      </c>
      <c r="E46" s="2">
        <f>historical_actuals3[[#This Row],[net_sales]]-historical_actuals3[[#This Row],[cogs]]</f>
        <v>394788</v>
      </c>
      <c r="F46" s="3">
        <f>IFERROR(historical_actuals3[[#This Row],[gross_profit]]/historical_actuals3[[#This Row],[net_sales]],0)</f>
        <v>0.22579326019803839</v>
      </c>
      <c r="G46" s="2">
        <v>70895.179999999993</v>
      </c>
      <c r="H46" s="2">
        <v>133537.70000000001</v>
      </c>
      <c r="I46" s="2">
        <f>historical_actuals3[[#This Row],[gross_profit]]-historical_actuals3[[#This Row],[labour_cost]]-historical_actuals3[[#This Row],[operating_expenses]]</f>
        <v>190355.12</v>
      </c>
      <c r="J46" s="3">
        <f>IFERROR(historical_actuals3[[#This Row],[operating_profit]]/historical_actuals3[[#This Row],[net_sales]],0)</f>
        <v>0.10887084496030482</v>
      </c>
    </row>
    <row r="47" spans="1:10" x14ac:dyDescent="0.3">
      <c r="A47" t="s">
        <v>30</v>
      </c>
      <c r="B47" t="s">
        <v>8</v>
      </c>
      <c r="C47" s="2">
        <v>1665712</v>
      </c>
      <c r="D47" s="2">
        <v>1334513</v>
      </c>
      <c r="E47" s="2">
        <f>historical_actuals3[[#This Row],[net_sales]]-historical_actuals3[[#This Row],[cogs]]</f>
        <v>331199</v>
      </c>
      <c r="F47" s="3">
        <f>IFERROR(historical_actuals3[[#This Row],[gross_profit]]/historical_actuals3[[#This Row],[net_sales]],0)</f>
        <v>0.19883329170949118</v>
      </c>
      <c r="G47" s="2">
        <v>69911.81</v>
      </c>
      <c r="H47" s="2">
        <v>129916.42</v>
      </c>
      <c r="I47" s="2">
        <f>historical_actuals3[[#This Row],[gross_profit]]-historical_actuals3[[#This Row],[labour_cost]]-historical_actuals3[[#This Row],[operating_expenses]]</f>
        <v>131370.77000000002</v>
      </c>
      <c r="J47" s="3">
        <f>IFERROR(historical_actuals3[[#This Row],[operating_profit]]/historical_actuals3[[#This Row],[net_sales]],0)</f>
        <v>7.8867637382692812E-2</v>
      </c>
    </row>
    <row r="48" spans="1:10" x14ac:dyDescent="0.3">
      <c r="A48" t="s">
        <v>30</v>
      </c>
      <c r="B48" t="s">
        <v>9</v>
      </c>
      <c r="C48" s="2">
        <v>1532075</v>
      </c>
      <c r="D48" s="2">
        <v>1204177</v>
      </c>
      <c r="E48" s="2">
        <f>historical_actuals3[[#This Row],[net_sales]]-historical_actuals3[[#This Row],[cogs]]</f>
        <v>327898</v>
      </c>
      <c r="F48" s="3">
        <f>IFERROR(historical_actuals3[[#This Row],[gross_profit]]/historical_actuals3[[#This Row],[net_sales]],0)</f>
        <v>0.21402215948958112</v>
      </c>
      <c r="G48" s="2">
        <v>72804.81</v>
      </c>
      <c r="H48" s="2">
        <v>124005.69</v>
      </c>
      <c r="I48" s="2">
        <f>historical_actuals3[[#This Row],[gross_profit]]-historical_actuals3[[#This Row],[labour_cost]]-historical_actuals3[[#This Row],[operating_expenses]]</f>
        <v>131087.5</v>
      </c>
      <c r="J48" s="3">
        <f>IFERROR(historical_actuals3[[#This Row],[operating_profit]]/historical_actuals3[[#This Row],[net_sales]],0)</f>
        <v>8.5562064520340056E-2</v>
      </c>
    </row>
    <row r="49" spans="1:10" x14ac:dyDescent="0.3">
      <c r="A49" t="s">
        <v>30</v>
      </c>
      <c r="B49" t="s">
        <v>10</v>
      </c>
      <c r="C49" s="2">
        <v>1616182</v>
      </c>
      <c r="D49" s="2">
        <v>1251676</v>
      </c>
      <c r="E49" s="2">
        <f>historical_actuals3[[#This Row],[net_sales]]-historical_actuals3[[#This Row],[cogs]]</f>
        <v>364506</v>
      </c>
      <c r="F49" s="3">
        <f>IFERROR(historical_actuals3[[#This Row],[gross_profit]]/historical_actuals3[[#This Row],[net_sales]],0)</f>
        <v>0.22553524293674845</v>
      </c>
      <c r="G49" s="2">
        <v>70329.03</v>
      </c>
      <c r="H49" s="2">
        <v>114585.98</v>
      </c>
      <c r="I49" s="2">
        <f>historical_actuals3[[#This Row],[gross_profit]]-historical_actuals3[[#This Row],[labour_cost]]-historical_actuals3[[#This Row],[operating_expenses]]</f>
        <v>179590.99</v>
      </c>
      <c r="J49" s="3">
        <f>IFERROR(historical_actuals3[[#This Row],[operating_profit]]/historical_actuals3[[#This Row],[net_sales]],0)</f>
        <v>0.11112052355489666</v>
      </c>
    </row>
    <row r="50" spans="1:10" x14ac:dyDescent="0.3">
      <c r="A50" t="s">
        <v>30</v>
      </c>
      <c r="B50" t="s">
        <v>11</v>
      </c>
      <c r="C50" s="2">
        <v>1662829</v>
      </c>
      <c r="D50" s="2">
        <v>1312873</v>
      </c>
      <c r="E50" s="2">
        <f>historical_actuals3[[#This Row],[net_sales]]-historical_actuals3[[#This Row],[cogs]]</f>
        <v>349956</v>
      </c>
      <c r="F50" s="3">
        <f>IFERROR(historical_actuals3[[#This Row],[gross_profit]]/historical_actuals3[[#This Row],[net_sales]],0)</f>
        <v>0.21045820105374635</v>
      </c>
      <c r="G50" s="2">
        <v>69486.14</v>
      </c>
      <c r="H50" s="2">
        <v>128829.74</v>
      </c>
      <c r="I50" s="2">
        <f>historical_actuals3[[#This Row],[gross_profit]]-historical_actuals3[[#This Row],[labour_cost]]-historical_actuals3[[#This Row],[operating_expenses]]</f>
        <v>151640.12</v>
      </c>
      <c r="J50" s="3">
        <f>IFERROR(historical_actuals3[[#This Row],[operating_profit]]/historical_actuals3[[#This Row],[net_sales]],0)</f>
        <v>9.1194055432037804E-2</v>
      </c>
    </row>
    <row r="51" spans="1:10" x14ac:dyDescent="0.3">
      <c r="A51" t="s">
        <v>30</v>
      </c>
      <c r="B51" t="s">
        <v>12</v>
      </c>
      <c r="C51" s="2">
        <v>1634330</v>
      </c>
      <c r="D51" s="2">
        <v>1273272</v>
      </c>
      <c r="E51" s="2">
        <f>historical_actuals3[[#This Row],[net_sales]]-historical_actuals3[[#This Row],[cogs]]</f>
        <v>361058</v>
      </c>
      <c r="F51" s="3">
        <f>IFERROR(historical_actuals3[[#This Row],[gross_profit]]/historical_actuals3[[#This Row],[net_sales]],0)</f>
        <v>0.22092111140344972</v>
      </c>
      <c r="G51" s="2">
        <v>68699.350000000006</v>
      </c>
      <c r="H51" s="2">
        <v>131681.1</v>
      </c>
      <c r="I51" s="2">
        <f>historical_actuals3[[#This Row],[gross_profit]]-historical_actuals3[[#This Row],[labour_cost]]-historical_actuals3[[#This Row],[operating_expenses]]</f>
        <v>160677.55000000002</v>
      </c>
      <c r="J51" s="3">
        <f>IFERROR(historical_actuals3[[#This Row],[operating_profit]]/historical_actuals3[[#This Row],[net_sales]],0)</f>
        <v>9.831401858865714E-2</v>
      </c>
    </row>
    <row r="52" spans="1:10" x14ac:dyDescent="0.3">
      <c r="A52" t="s">
        <v>30</v>
      </c>
      <c r="B52" t="s">
        <v>13</v>
      </c>
      <c r="C52" s="2">
        <v>1698688</v>
      </c>
      <c r="D52" s="2">
        <v>1341167</v>
      </c>
      <c r="E52" s="2">
        <f>historical_actuals3[[#This Row],[net_sales]]-historical_actuals3[[#This Row],[cogs]]</f>
        <v>357521</v>
      </c>
      <c r="F52" s="3">
        <f>IFERROR(historical_actuals3[[#This Row],[gross_profit]]/historical_actuals3[[#This Row],[net_sales]],0)</f>
        <v>0.21046890305930224</v>
      </c>
      <c r="G52" s="2">
        <v>69545.740000000005</v>
      </c>
      <c r="H52" s="2">
        <v>134587.07</v>
      </c>
      <c r="I52" s="2">
        <f>historical_actuals3[[#This Row],[gross_profit]]-historical_actuals3[[#This Row],[labour_cost]]-historical_actuals3[[#This Row],[operating_expenses]]</f>
        <v>153388.19</v>
      </c>
      <c r="J52" s="3">
        <f>IFERROR(historical_actuals3[[#This Row],[operating_profit]]/historical_actuals3[[#This Row],[net_sales]],0)</f>
        <v>9.0298035895938517E-2</v>
      </c>
    </row>
    <row r="53" spans="1:10" x14ac:dyDescent="0.3">
      <c r="A53" t="s">
        <v>30</v>
      </c>
      <c r="B53" t="s">
        <v>14</v>
      </c>
      <c r="C53" s="2">
        <v>1563354</v>
      </c>
      <c r="D53" s="2">
        <v>1233825</v>
      </c>
      <c r="E53" s="2">
        <f>historical_actuals3[[#This Row],[net_sales]]-historical_actuals3[[#This Row],[cogs]]</f>
        <v>329529</v>
      </c>
      <c r="F53" s="3">
        <f>IFERROR(historical_actuals3[[#This Row],[gross_profit]]/historical_actuals3[[#This Row],[net_sales]],0)</f>
        <v>0.21078335424990116</v>
      </c>
      <c r="G53" s="2">
        <v>68820.2</v>
      </c>
      <c r="H53" s="2">
        <v>120846.02</v>
      </c>
      <c r="I53" s="2">
        <f>historical_actuals3[[#This Row],[gross_profit]]-historical_actuals3[[#This Row],[labour_cost]]-historical_actuals3[[#This Row],[operating_expenses]]</f>
        <v>139862.77999999997</v>
      </c>
      <c r="J53" s="3">
        <f>IFERROR(historical_actuals3[[#This Row],[operating_profit]]/historical_actuals3[[#This Row],[net_sales]],0)</f>
        <v>8.9463282148508891E-2</v>
      </c>
    </row>
    <row r="54" spans="1:10" x14ac:dyDescent="0.3">
      <c r="A54" t="s">
        <v>30</v>
      </c>
      <c r="B54" t="s">
        <v>15</v>
      </c>
      <c r="C54" s="2">
        <v>1575658</v>
      </c>
      <c r="D54" s="2">
        <v>1230950</v>
      </c>
      <c r="E54" s="2">
        <f>historical_actuals3[[#This Row],[net_sales]]-historical_actuals3[[#This Row],[cogs]]</f>
        <v>344708</v>
      </c>
      <c r="F54" s="3">
        <f>IFERROR(historical_actuals3[[#This Row],[gross_profit]]/historical_actuals3[[#This Row],[net_sales]],0)</f>
        <v>0.21877082463326433</v>
      </c>
      <c r="G54" s="2">
        <v>71510.77</v>
      </c>
      <c r="H54" s="2">
        <v>122580.49</v>
      </c>
      <c r="I54" s="2">
        <f>historical_actuals3[[#This Row],[gross_profit]]-historical_actuals3[[#This Row],[labour_cost]]-historical_actuals3[[#This Row],[operating_expenses]]</f>
        <v>150616.74</v>
      </c>
      <c r="J54" s="3">
        <f>IFERROR(historical_actuals3[[#This Row],[operating_profit]]/historical_actuals3[[#This Row],[net_sales]],0)</f>
        <v>9.5589740920935876E-2</v>
      </c>
    </row>
    <row r="55" spans="1:10" x14ac:dyDescent="0.3">
      <c r="A55" t="s">
        <v>30</v>
      </c>
      <c r="B55" t="s">
        <v>16</v>
      </c>
      <c r="C55" s="2">
        <v>1692982</v>
      </c>
      <c r="D55" s="2">
        <v>1335142</v>
      </c>
      <c r="E55" s="2">
        <f>historical_actuals3[[#This Row],[net_sales]]-historical_actuals3[[#This Row],[cogs]]</f>
        <v>357840</v>
      </c>
      <c r="F55" s="3">
        <f>IFERROR(historical_actuals3[[#This Row],[gross_profit]]/historical_actuals3[[#This Row],[net_sales]],0)</f>
        <v>0.21136668907289033</v>
      </c>
      <c r="G55" s="2">
        <v>69835.009999999995</v>
      </c>
      <c r="H55" s="2">
        <v>122460.19</v>
      </c>
      <c r="I55" s="2">
        <f>historical_actuals3[[#This Row],[gross_profit]]-historical_actuals3[[#This Row],[labour_cost]]-historical_actuals3[[#This Row],[operating_expenses]]</f>
        <v>165544.79999999999</v>
      </c>
      <c r="J55" s="3">
        <f>IFERROR(historical_actuals3[[#This Row],[operating_profit]]/historical_actuals3[[#This Row],[net_sales]],0)</f>
        <v>9.7782965205772995E-2</v>
      </c>
    </row>
    <row r="56" spans="1:10" x14ac:dyDescent="0.3">
      <c r="A56" t="s">
        <v>30</v>
      </c>
      <c r="B56" t="s">
        <v>17</v>
      </c>
      <c r="C56" s="2">
        <v>1906509</v>
      </c>
      <c r="D56" s="2">
        <v>1498083</v>
      </c>
      <c r="E56" s="2">
        <f>historical_actuals3[[#This Row],[net_sales]]-historical_actuals3[[#This Row],[cogs]]</f>
        <v>408426</v>
      </c>
      <c r="F56" s="3">
        <f>IFERROR(historical_actuals3[[#This Row],[gross_profit]]/historical_actuals3[[#This Row],[net_sales]],0)</f>
        <v>0.21422715549729898</v>
      </c>
      <c r="G56" s="2">
        <v>67051.19</v>
      </c>
      <c r="H56" s="2">
        <v>126032.04</v>
      </c>
      <c r="I56" s="2">
        <f>historical_actuals3[[#This Row],[gross_profit]]-historical_actuals3[[#This Row],[labour_cost]]-historical_actuals3[[#This Row],[operating_expenses]]</f>
        <v>215342.77000000002</v>
      </c>
      <c r="J56" s="3">
        <f>IFERROR(historical_actuals3[[#This Row],[operating_profit]]/historical_actuals3[[#This Row],[net_sales]],0)</f>
        <v>0.11295135244575295</v>
      </c>
    </row>
    <row r="57" spans="1:10" x14ac:dyDescent="0.3">
      <c r="A57" t="s">
        <v>30</v>
      </c>
      <c r="B57" t="s">
        <v>18</v>
      </c>
      <c r="C57" s="2">
        <v>1684287</v>
      </c>
      <c r="D57" s="2">
        <v>1323335</v>
      </c>
      <c r="E57" s="2">
        <f>historical_actuals3[[#This Row],[net_sales]]-historical_actuals3[[#This Row],[cogs]]</f>
        <v>360952</v>
      </c>
      <c r="F57" s="3">
        <f>IFERROR(historical_actuals3[[#This Row],[gross_profit]]/historical_actuals3[[#This Row],[net_sales]],0)</f>
        <v>0.21430551919001928</v>
      </c>
      <c r="G57" s="2">
        <v>71893.740000000005</v>
      </c>
      <c r="H57" s="2">
        <v>132842.1</v>
      </c>
      <c r="I57" s="2">
        <f>historical_actuals3[[#This Row],[gross_profit]]-historical_actuals3[[#This Row],[labour_cost]]-historical_actuals3[[#This Row],[operating_expenses]]</f>
        <v>156216.16</v>
      </c>
      <c r="J57" s="3">
        <f>IFERROR(historical_actuals3[[#This Row],[operating_profit]]/historical_actuals3[[#This Row],[net_sales]],0)</f>
        <v>9.2749133609652035E-2</v>
      </c>
    </row>
    <row r="58" spans="1:10" x14ac:dyDescent="0.3">
      <c r="A58" t="s">
        <v>30</v>
      </c>
      <c r="B58" t="s">
        <v>19</v>
      </c>
      <c r="C58" s="2">
        <v>1616318</v>
      </c>
      <c r="D58" s="2">
        <v>1271925</v>
      </c>
      <c r="E58" s="2">
        <f>historical_actuals3[[#This Row],[net_sales]]-historical_actuals3[[#This Row],[cogs]]</f>
        <v>344393</v>
      </c>
      <c r="F58" s="3">
        <f>IFERROR(historical_actuals3[[#This Row],[gross_profit]]/historical_actuals3[[#This Row],[net_sales]],0)</f>
        <v>0.21307255131725317</v>
      </c>
      <c r="G58" s="2">
        <v>69324.52</v>
      </c>
      <c r="H58" s="2">
        <v>130056.53</v>
      </c>
      <c r="I58" s="2">
        <f>historical_actuals3[[#This Row],[gross_profit]]-historical_actuals3[[#This Row],[labour_cost]]-historical_actuals3[[#This Row],[operating_expenses]]</f>
        <v>145011.94999999998</v>
      </c>
      <c r="J58" s="3">
        <f>IFERROR(historical_actuals3[[#This Row],[operating_profit]]/historical_actuals3[[#This Row],[net_sales]],0)</f>
        <v>8.9717462776508078E-2</v>
      </c>
    </row>
    <row r="59" spans="1:10" x14ac:dyDescent="0.3">
      <c r="A59" t="s">
        <v>30</v>
      </c>
      <c r="B59" t="s">
        <v>20</v>
      </c>
      <c r="C59" s="2">
        <v>1423802</v>
      </c>
      <c r="D59" s="2">
        <v>1141215</v>
      </c>
      <c r="E59" s="2">
        <f>historical_actuals3[[#This Row],[net_sales]]-historical_actuals3[[#This Row],[cogs]]</f>
        <v>282587</v>
      </c>
      <c r="F59" s="3">
        <f>IFERROR(historical_actuals3[[#This Row],[gross_profit]]/historical_actuals3[[#This Row],[net_sales]],0)</f>
        <v>0.19847352370624566</v>
      </c>
      <c r="G59" s="2">
        <v>71022.570000000007</v>
      </c>
      <c r="H59" s="2">
        <v>132857.26</v>
      </c>
      <c r="I59" s="2">
        <f>historical_actuals3[[#This Row],[gross_profit]]-historical_actuals3[[#This Row],[labour_cost]]-historical_actuals3[[#This Row],[operating_expenses]]</f>
        <v>78707.169999999984</v>
      </c>
      <c r="J59" s="3">
        <f>IFERROR(historical_actuals3[[#This Row],[operating_profit]]/historical_actuals3[[#This Row],[net_sales]],0)</f>
        <v>5.5279575390398371E-2</v>
      </c>
    </row>
    <row r="60" spans="1:10" x14ac:dyDescent="0.3">
      <c r="A60" t="s">
        <v>30</v>
      </c>
      <c r="B60" t="s">
        <v>21</v>
      </c>
      <c r="C60" s="2">
        <v>1676185</v>
      </c>
      <c r="D60" s="2">
        <v>1360512</v>
      </c>
      <c r="E60" s="2">
        <f>historical_actuals3[[#This Row],[net_sales]]-historical_actuals3[[#This Row],[cogs]]</f>
        <v>315673</v>
      </c>
      <c r="F60" s="3">
        <f>IFERROR(historical_actuals3[[#This Row],[gross_profit]]/historical_actuals3[[#This Row],[net_sales]],0)</f>
        <v>0.18832825732243158</v>
      </c>
      <c r="G60" s="2">
        <v>68333.899999999994</v>
      </c>
      <c r="H60" s="2">
        <v>118399.64</v>
      </c>
      <c r="I60" s="2">
        <f>historical_actuals3[[#This Row],[gross_profit]]-historical_actuals3[[#This Row],[labour_cost]]-historical_actuals3[[#This Row],[operating_expenses]]</f>
        <v>128939.46</v>
      </c>
      <c r="J60" s="3">
        <f>IFERROR(historical_actuals3[[#This Row],[operating_profit]]/historical_actuals3[[#This Row],[net_sales]],0)</f>
        <v>7.6924360974474776E-2</v>
      </c>
    </row>
    <row r="61" spans="1:10" x14ac:dyDescent="0.3">
      <c r="A61" t="s">
        <v>30</v>
      </c>
      <c r="B61" t="s">
        <v>22</v>
      </c>
      <c r="C61" s="2">
        <v>1658033</v>
      </c>
      <c r="D61" s="2">
        <v>1284634</v>
      </c>
      <c r="E61" s="2">
        <f>historical_actuals3[[#This Row],[net_sales]]-historical_actuals3[[#This Row],[cogs]]</f>
        <v>373399</v>
      </c>
      <c r="F61" s="3">
        <f>IFERROR(historical_actuals3[[#This Row],[gross_profit]]/historical_actuals3[[#This Row],[net_sales]],0)</f>
        <v>0.22520601218431721</v>
      </c>
      <c r="G61" s="2">
        <v>72232.11</v>
      </c>
      <c r="H61" s="2">
        <v>112410.02</v>
      </c>
      <c r="I61" s="2">
        <f>historical_actuals3[[#This Row],[gross_profit]]-historical_actuals3[[#This Row],[labour_cost]]-historical_actuals3[[#This Row],[operating_expenses]]</f>
        <v>188756.87</v>
      </c>
      <c r="J61" s="3">
        <f>IFERROR(historical_actuals3[[#This Row],[operating_profit]]/historical_actuals3[[#This Row],[net_sales]],0)</f>
        <v>0.11384385594255361</v>
      </c>
    </row>
    <row r="62" spans="1:10" x14ac:dyDescent="0.3">
      <c r="A62" t="s">
        <v>30</v>
      </c>
      <c r="B62" t="s">
        <v>23</v>
      </c>
      <c r="C62" s="2">
        <v>1407333</v>
      </c>
      <c r="D62" s="2">
        <v>1119613</v>
      </c>
      <c r="E62" s="2">
        <f>historical_actuals3[[#This Row],[net_sales]]-historical_actuals3[[#This Row],[cogs]]</f>
        <v>287720</v>
      </c>
      <c r="F62" s="3">
        <f>IFERROR(historical_actuals3[[#This Row],[gross_profit]]/historical_actuals3[[#This Row],[net_sales]],0)</f>
        <v>0.2044434401808243</v>
      </c>
      <c r="G62" s="2">
        <v>68859.7</v>
      </c>
      <c r="H62" s="2">
        <v>120254.21</v>
      </c>
      <c r="I62" s="2">
        <f>historical_actuals3[[#This Row],[gross_profit]]-historical_actuals3[[#This Row],[labour_cost]]-historical_actuals3[[#This Row],[operating_expenses]]</f>
        <v>98606.089999999982</v>
      </c>
      <c r="J62" s="3">
        <f>IFERROR(historical_actuals3[[#This Row],[operating_profit]]/historical_actuals3[[#This Row],[net_sales]],0)</f>
        <v>7.0065926116988642E-2</v>
      </c>
    </row>
    <row r="63" spans="1:10" x14ac:dyDescent="0.3">
      <c r="A63" t="s">
        <v>30</v>
      </c>
      <c r="B63" t="s">
        <v>24</v>
      </c>
      <c r="C63" s="2">
        <v>1757324</v>
      </c>
      <c r="D63" s="2">
        <v>1380801</v>
      </c>
      <c r="E63" s="2">
        <f>historical_actuals3[[#This Row],[net_sales]]-historical_actuals3[[#This Row],[cogs]]</f>
        <v>376523</v>
      </c>
      <c r="F63" s="3">
        <f>IFERROR(historical_actuals3[[#This Row],[gross_profit]]/historical_actuals3[[#This Row],[net_sales]],0)</f>
        <v>0.21425929424511359</v>
      </c>
      <c r="G63" s="2">
        <v>68064.98</v>
      </c>
      <c r="H63" s="2">
        <v>122186.36</v>
      </c>
      <c r="I63" s="2">
        <f>historical_actuals3[[#This Row],[gross_profit]]-historical_actuals3[[#This Row],[labour_cost]]-historical_actuals3[[#This Row],[operating_expenses]]</f>
        <v>186271.66000000003</v>
      </c>
      <c r="J63" s="3">
        <f>IFERROR(historical_actuals3[[#This Row],[operating_profit]]/historical_actuals3[[#This Row],[net_sales]],0)</f>
        <v>0.10599733458371935</v>
      </c>
    </row>
    <row r="64" spans="1:10" x14ac:dyDescent="0.3">
      <c r="A64" t="s">
        <v>30</v>
      </c>
      <c r="B64" t="s">
        <v>25</v>
      </c>
      <c r="C64" s="2">
        <v>1774485</v>
      </c>
      <c r="D64" s="2">
        <v>1429488</v>
      </c>
      <c r="E64" s="2">
        <f>historical_actuals3[[#This Row],[net_sales]]-historical_actuals3[[#This Row],[cogs]]</f>
        <v>344997</v>
      </c>
      <c r="F64" s="3">
        <f>IFERROR(historical_actuals3[[#This Row],[gross_profit]]/historical_actuals3[[#This Row],[net_sales]],0)</f>
        <v>0.19442091649126367</v>
      </c>
      <c r="G64" s="2">
        <v>16211.34</v>
      </c>
      <c r="H64" s="2">
        <v>27592.6</v>
      </c>
      <c r="I64" s="2">
        <f>historical_actuals3[[#This Row],[gross_profit]]-historical_actuals3[[#This Row],[labour_cost]]-historical_actuals3[[#This Row],[operating_expenses]]</f>
        <v>301193.06</v>
      </c>
      <c r="J64" s="3">
        <f>IFERROR(historical_actuals3[[#This Row],[operating_profit]]/historical_actuals3[[#This Row],[net_sales]],0)</f>
        <v>0.16973547818099335</v>
      </c>
    </row>
    <row r="65" spans="1:10" x14ac:dyDescent="0.3">
      <c r="A65" t="s">
        <v>30</v>
      </c>
      <c r="B65" t="s">
        <v>26</v>
      </c>
      <c r="C65" s="2">
        <v>1633090</v>
      </c>
      <c r="D65" s="2">
        <v>1297476</v>
      </c>
      <c r="E65" s="2">
        <f>historical_actuals3[[#This Row],[net_sales]]-historical_actuals3[[#This Row],[cogs]]</f>
        <v>335614</v>
      </c>
      <c r="F65" s="3">
        <f>IFERROR(historical_actuals3[[#This Row],[gross_profit]]/historical_actuals3[[#This Row],[net_sales]],0)</f>
        <v>0.20550857576741025</v>
      </c>
      <c r="G65" s="2">
        <v>16221.97</v>
      </c>
      <c r="H65" s="2">
        <v>30257.14</v>
      </c>
      <c r="I65" s="2">
        <f>historical_actuals3[[#This Row],[gross_profit]]-historical_actuals3[[#This Row],[labour_cost]]-historical_actuals3[[#This Row],[operating_expenses]]</f>
        <v>289134.89</v>
      </c>
      <c r="J65" s="3">
        <f>IFERROR(historical_actuals3[[#This Row],[operating_profit]]/historical_actuals3[[#This Row],[net_sales]],0)</f>
        <v>0.17704773772419158</v>
      </c>
    </row>
    <row r="66" spans="1:10" x14ac:dyDescent="0.3">
      <c r="A66" t="s">
        <v>30</v>
      </c>
      <c r="B66" t="s">
        <v>27</v>
      </c>
      <c r="C66" s="2">
        <v>1486866</v>
      </c>
      <c r="D66" s="2">
        <v>1163557</v>
      </c>
      <c r="E66" s="2">
        <f>historical_actuals3[[#This Row],[net_sales]]-historical_actuals3[[#This Row],[cogs]]</f>
        <v>323309</v>
      </c>
      <c r="F66" s="3">
        <f>IFERROR(historical_actuals3[[#This Row],[gross_profit]]/historical_actuals3[[#This Row],[net_sales]],0)</f>
        <v>0.21744326657546814</v>
      </c>
      <c r="G66" s="2">
        <v>16534.93</v>
      </c>
      <c r="H66" s="2">
        <v>29008.07</v>
      </c>
      <c r="I66" s="2">
        <f>historical_actuals3[[#This Row],[gross_profit]]-historical_actuals3[[#This Row],[labour_cost]]-historical_actuals3[[#This Row],[operating_expenses]]</f>
        <v>277766</v>
      </c>
      <c r="J66" s="3">
        <f>IFERROR(historical_actuals3[[#This Row],[operating_profit]]/historical_actuals3[[#This Row],[net_sales]],0)</f>
        <v>0.18681306856165922</v>
      </c>
    </row>
    <row r="67" spans="1:10" x14ac:dyDescent="0.3">
      <c r="A67" t="s">
        <v>30</v>
      </c>
      <c r="B67" t="s">
        <v>28</v>
      </c>
      <c r="C67" s="2">
        <v>1562362</v>
      </c>
      <c r="D67" s="2">
        <v>1267692</v>
      </c>
      <c r="E67" s="2">
        <f>historical_actuals3[[#This Row],[net_sales]]-historical_actuals3[[#This Row],[cogs]]</f>
        <v>294670</v>
      </c>
      <c r="F67" s="3">
        <f>IFERROR(historical_actuals3[[#This Row],[gross_profit]]/historical_actuals3[[#This Row],[net_sales]],0)</f>
        <v>0.18860545763401823</v>
      </c>
      <c r="G67" s="2">
        <v>15877.3</v>
      </c>
      <c r="H67" s="2">
        <v>29235.599999999999</v>
      </c>
      <c r="I67" s="2">
        <f>historical_actuals3[[#This Row],[gross_profit]]-historical_actuals3[[#This Row],[labour_cost]]-historical_actuals3[[#This Row],[operating_expenses]]</f>
        <v>249557.1</v>
      </c>
      <c r="J67" s="3">
        <f>IFERROR(historical_actuals3[[#This Row],[operating_profit]]/historical_actuals3[[#This Row],[net_sales]],0)</f>
        <v>0.15973065141113263</v>
      </c>
    </row>
    <row r="68" spans="1:10" x14ac:dyDescent="0.3">
      <c r="A68" t="s">
        <v>30</v>
      </c>
      <c r="B68" t="s">
        <v>31</v>
      </c>
      <c r="C68" s="2">
        <v>1352125</v>
      </c>
      <c r="D68" s="2">
        <v>1069780</v>
      </c>
      <c r="E68" s="2">
        <f>historical_actuals3[[#This Row],[net_sales]]-historical_actuals3[[#This Row],[cogs]]</f>
        <v>282345</v>
      </c>
      <c r="F68" s="3">
        <f>IFERROR(historical_actuals3[[#This Row],[gross_profit]]/historical_actuals3[[#This Row],[net_sales]],0)</f>
        <v>0.20881575298141813</v>
      </c>
      <c r="G68" s="2">
        <v>11109.12</v>
      </c>
      <c r="H68" s="2">
        <v>28491.24</v>
      </c>
      <c r="I68" s="2">
        <f>historical_actuals3[[#This Row],[gross_profit]]-historical_actuals3[[#This Row],[labour_cost]]-historical_actuals3[[#This Row],[operating_expenses]]</f>
        <v>242744.64</v>
      </c>
      <c r="J68" s="3">
        <f>IFERROR(historical_actuals3[[#This Row],[operating_profit]]/historical_actuals3[[#This Row],[net_sales]],0)</f>
        <v>0.17952825367477121</v>
      </c>
    </row>
    <row r="69" spans="1:10" x14ac:dyDescent="0.3">
      <c r="A69" t="s">
        <v>30</v>
      </c>
      <c r="B69" t="s">
        <v>32</v>
      </c>
      <c r="C69" s="2">
        <v>1798724</v>
      </c>
      <c r="D69" s="2">
        <v>1405915</v>
      </c>
      <c r="E69" s="2">
        <f>historical_actuals3[[#This Row],[net_sales]]-historical_actuals3[[#This Row],[cogs]]</f>
        <v>392809</v>
      </c>
      <c r="F69" s="3">
        <f>IFERROR(historical_actuals3[[#This Row],[gross_profit]]/historical_actuals3[[#This Row],[net_sales]],0)</f>
        <v>0.21838203081740168</v>
      </c>
      <c r="G69" s="2">
        <v>15318.33</v>
      </c>
      <c r="H69" s="2">
        <v>24870.58</v>
      </c>
      <c r="I69" s="2">
        <f>historical_actuals3[[#This Row],[gross_profit]]-historical_actuals3[[#This Row],[labour_cost]]-historical_actuals3[[#This Row],[operating_expenses]]</f>
        <v>352620.08999999997</v>
      </c>
      <c r="J69" s="3">
        <f>IFERROR(historical_actuals3[[#This Row],[operating_profit]]/historical_actuals3[[#This Row],[net_sales]],0)</f>
        <v>0.19603901988298369</v>
      </c>
    </row>
    <row r="70" spans="1:10" x14ac:dyDescent="0.3">
      <c r="A70" t="s">
        <v>33</v>
      </c>
      <c r="B70" t="s">
        <v>7</v>
      </c>
      <c r="C70" s="2">
        <v>1589712</v>
      </c>
      <c r="D70" s="2">
        <v>1204084</v>
      </c>
      <c r="E70" s="2">
        <f>historical_actuals3[[#This Row],[net_sales]]-historical_actuals3[[#This Row],[cogs]]</f>
        <v>385628</v>
      </c>
      <c r="F70" s="3">
        <f>IFERROR(historical_actuals3[[#This Row],[gross_profit]]/historical_actuals3[[#This Row],[net_sales]],0)</f>
        <v>0.24257727185804726</v>
      </c>
      <c r="G70" s="2">
        <v>66765.070000000007</v>
      </c>
      <c r="H70" s="2">
        <v>112783.5</v>
      </c>
      <c r="I70" s="2">
        <f>historical_actuals3[[#This Row],[gross_profit]]-historical_actuals3[[#This Row],[labour_cost]]-historical_actuals3[[#This Row],[operating_expenses]]</f>
        <v>206079.43</v>
      </c>
      <c r="J70" s="3">
        <f>IFERROR(historical_actuals3[[#This Row],[operating_profit]]/historical_actuals3[[#This Row],[net_sales]],0)</f>
        <v>0.12963318513038841</v>
      </c>
    </row>
    <row r="71" spans="1:10" x14ac:dyDescent="0.3">
      <c r="A71" t="s">
        <v>33</v>
      </c>
      <c r="B71" t="s">
        <v>8</v>
      </c>
      <c r="C71" s="2">
        <v>1645911</v>
      </c>
      <c r="D71" s="2">
        <v>1315053</v>
      </c>
      <c r="E71" s="2">
        <f>historical_actuals3[[#This Row],[net_sales]]-historical_actuals3[[#This Row],[cogs]]</f>
        <v>330858</v>
      </c>
      <c r="F71" s="3">
        <f>IFERROR(historical_actuals3[[#This Row],[gross_profit]]/historical_actuals3[[#This Row],[net_sales]],0)</f>
        <v>0.20101815954811653</v>
      </c>
      <c r="G71" s="2">
        <v>66997.33</v>
      </c>
      <c r="H71" s="2">
        <v>137225.82999999999</v>
      </c>
      <c r="I71" s="2">
        <f>historical_actuals3[[#This Row],[gross_profit]]-historical_actuals3[[#This Row],[labour_cost]]-historical_actuals3[[#This Row],[operating_expenses]]</f>
        <v>126634.84</v>
      </c>
      <c r="J71" s="3">
        <f>IFERROR(historical_actuals3[[#This Row],[operating_profit]]/historical_actuals3[[#This Row],[net_sales]],0)</f>
        <v>7.6939056850583054E-2</v>
      </c>
    </row>
    <row r="72" spans="1:10" x14ac:dyDescent="0.3">
      <c r="A72" t="s">
        <v>33</v>
      </c>
      <c r="B72" t="s">
        <v>9</v>
      </c>
      <c r="C72" s="2">
        <v>1343985</v>
      </c>
      <c r="D72" s="2">
        <v>1032782</v>
      </c>
      <c r="E72" s="2">
        <f>historical_actuals3[[#This Row],[net_sales]]-historical_actuals3[[#This Row],[cogs]]</f>
        <v>311203</v>
      </c>
      <c r="F72" s="3">
        <f>IFERROR(historical_actuals3[[#This Row],[gross_profit]]/historical_actuals3[[#This Row],[net_sales]],0)</f>
        <v>0.23155243548105076</v>
      </c>
      <c r="G72" s="2">
        <v>68704.990000000005</v>
      </c>
      <c r="H72" s="2">
        <v>125104.75</v>
      </c>
      <c r="I72" s="2">
        <f>historical_actuals3[[#This Row],[gross_profit]]-historical_actuals3[[#This Row],[labour_cost]]-historical_actuals3[[#This Row],[operating_expenses]]</f>
        <v>117393.26000000001</v>
      </c>
      <c r="J72" s="3">
        <f>IFERROR(historical_actuals3[[#This Row],[operating_profit]]/historical_actuals3[[#This Row],[net_sales]],0)</f>
        <v>8.7347150451827962E-2</v>
      </c>
    </row>
    <row r="73" spans="1:10" x14ac:dyDescent="0.3">
      <c r="A73" t="s">
        <v>33</v>
      </c>
      <c r="B73" t="s">
        <v>10</v>
      </c>
      <c r="C73" s="2">
        <v>1454764</v>
      </c>
      <c r="D73" s="2">
        <v>1114992</v>
      </c>
      <c r="E73" s="2">
        <f>historical_actuals3[[#This Row],[net_sales]]-historical_actuals3[[#This Row],[cogs]]</f>
        <v>339772</v>
      </c>
      <c r="F73" s="3">
        <f>IFERROR(historical_actuals3[[#This Row],[gross_profit]]/historical_actuals3[[#This Row],[net_sales]],0)</f>
        <v>0.2335581578867775</v>
      </c>
      <c r="G73" s="2">
        <v>66724.75</v>
      </c>
      <c r="H73" s="2">
        <v>135748.42000000001</v>
      </c>
      <c r="I73" s="2">
        <f>historical_actuals3[[#This Row],[gross_profit]]-historical_actuals3[[#This Row],[labour_cost]]-historical_actuals3[[#This Row],[operating_expenses]]</f>
        <v>137298.82999999999</v>
      </c>
      <c r="J73" s="3">
        <f>IFERROR(historical_actuals3[[#This Row],[operating_profit]]/historical_actuals3[[#This Row],[net_sales]],0)</f>
        <v>9.4378765215526364E-2</v>
      </c>
    </row>
    <row r="74" spans="1:10" x14ac:dyDescent="0.3">
      <c r="A74" t="s">
        <v>33</v>
      </c>
      <c r="B74" t="s">
        <v>11</v>
      </c>
      <c r="C74" s="2">
        <v>1351596</v>
      </c>
      <c r="D74" s="2">
        <v>1059478</v>
      </c>
      <c r="E74" s="2">
        <f>historical_actuals3[[#This Row],[net_sales]]-historical_actuals3[[#This Row],[cogs]]</f>
        <v>292118</v>
      </c>
      <c r="F74" s="3">
        <f>IFERROR(historical_actuals3[[#This Row],[gross_profit]]/historical_actuals3[[#This Row],[net_sales]],0)</f>
        <v>0.21612819215209278</v>
      </c>
      <c r="G74" s="2">
        <v>71109.38</v>
      </c>
      <c r="H74" s="2">
        <v>124543.99</v>
      </c>
      <c r="I74" s="2">
        <f>historical_actuals3[[#This Row],[gross_profit]]-historical_actuals3[[#This Row],[labour_cost]]-historical_actuals3[[#This Row],[operating_expenses]]</f>
        <v>96464.62999999999</v>
      </c>
      <c r="J74" s="3">
        <f>IFERROR(historical_actuals3[[#This Row],[operating_profit]]/historical_actuals3[[#This Row],[net_sales]],0)</f>
        <v>7.1370905211320529E-2</v>
      </c>
    </row>
    <row r="75" spans="1:10" x14ac:dyDescent="0.3">
      <c r="A75" t="s">
        <v>33</v>
      </c>
      <c r="B75" t="s">
        <v>12</v>
      </c>
      <c r="C75" s="2">
        <v>1575417</v>
      </c>
      <c r="D75" s="2">
        <v>1249887</v>
      </c>
      <c r="E75" s="2">
        <f>historical_actuals3[[#This Row],[net_sales]]-historical_actuals3[[#This Row],[cogs]]</f>
        <v>325530</v>
      </c>
      <c r="F75" s="3">
        <f>IFERROR(historical_actuals3[[#This Row],[gross_profit]]/historical_actuals3[[#This Row],[net_sales]],0)</f>
        <v>0.20663100626691219</v>
      </c>
      <c r="G75" s="2">
        <v>67167.34</v>
      </c>
      <c r="H75" s="2">
        <v>125339.29</v>
      </c>
      <c r="I75" s="2">
        <f>historical_actuals3[[#This Row],[gross_profit]]-historical_actuals3[[#This Row],[labour_cost]]-historical_actuals3[[#This Row],[operating_expenses]]</f>
        <v>133023.37</v>
      </c>
      <c r="J75" s="3">
        <f>IFERROR(historical_actuals3[[#This Row],[operating_profit]]/historical_actuals3[[#This Row],[net_sales]],0)</f>
        <v>8.443692685809534E-2</v>
      </c>
    </row>
    <row r="76" spans="1:10" x14ac:dyDescent="0.3">
      <c r="A76" t="s">
        <v>33</v>
      </c>
      <c r="B76" t="s">
        <v>13</v>
      </c>
      <c r="C76" s="2">
        <v>1512502</v>
      </c>
      <c r="D76" s="2">
        <v>1208734</v>
      </c>
      <c r="E76" s="2">
        <f>historical_actuals3[[#This Row],[net_sales]]-historical_actuals3[[#This Row],[cogs]]</f>
        <v>303768</v>
      </c>
      <c r="F76" s="3">
        <f>IFERROR(historical_actuals3[[#This Row],[gross_profit]]/historical_actuals3[[#This Row],[net_sales]],0)</f>
        <v>0.2008380815364211</v>
      </c>
      <c r="G76" s="2">
        <v>65982.350000000006</v>
      </c>
      <c r="H76" s="2">
        <v>132124.62</v>
      </c>
      <c r="I76" s="2">
        <f>historical_actuals3[[#This Row],[gross_profit]]-historical_actuals3[[#This Row],[labour_cost]]-historical_actuals3[[#This Row],[operating_expenses]]</f>
        <v>105661.03</v>
      </c>
      <c r="J76" s="3">
        <f>IFERROR(historical_actuals3[[#This Row],[operating_profit]]/historical_actuals3[[#This Row],[net_sales]],0)</f>
        <v>6.9858439856608459E-2</v>
      </c>
    </row>
    <row r="77" spans="1:10" x14ac:dyDescent="0.3">
      <c r="A77" t="s">
        <v>33</v>
      </c>
      <c r="B77" t="s">
        <v>14</v>
      </c>
      <c r="C77" s="2">
        <v>1407744</v>
      </c>
      <c r="D77" s="2">
        <v>1131241</v>
      </c>
      <c r="E77" s="2">
        <f>historical_actuals3[[#This Row],[net_sales]]-historical_actuals3[[#This Row],[cogs]]</f>
        <v>276503</v>
      </c>
      <c r="F77" s="3">
        <f>IFERROR(historical_actuals3[[#This Row],[gross_profit]]/historical_actuals3[[#This Row],[net_sales]],0)</f>
        <v>0.19641568353336972</v>
      </c>
      <c r="G77" s="2">
        <v>66030</v>
      </c>
      <c r="H77" s="2">
        <v>121439.42</v>
      </c>
      <c r="I77" s="2">
        <f>historical_actuals3[[#This Row],[gross_profit]]-historical_actuals3[[#This Row],[labour_cost]]-historical_actuals3[[#This Row],[operating_expenses]]</f>
        <v>89033.58</v>
      </c>
      <c r="J77" s="3">
        <f>IFERROR(historical_actuals3[[#This Row],[operating_profit]]/historical_actuals3[[#This Row],[net_sales]],0)</f>
        <v>6.3245575900163664E-2</v>
      </c>
    </row>
    <row r="78" spans="1:10" x14ac:dyDescent="0.3">
      <c r="A78" t="s">
        <v>33</v>
      </c>
      <c r="B78" t="s">
        <v>15</v>
      </c>
      <c r="C78" s="2">
        <v>1552628</v>
      </c>
      <c r="D78" s="2">
        <v>1197647</v>
      </c>
      <c r="E78" s="2">
        <f>historical_actuals3[[#This Row],[net_sales]]-historical_actuals3[[#This Row],[cogs]]</f>
        <v>354981</v>
      </c>
      <c r="F78" s="3">
        <f>IFERROR(historical_actuals3[[#This Row],[gross_profit]]/historical_actuals3[[#This Row],[net_sales]],0)</f>
        <v>0.22863235752543429</v>
      </c>
      <c r="G78" s="2">
        <v>67274.58</v>
      </c>
      <c r="H78" s="2">
        <v>122313.83</v>
      </c>
      <c r="I78" s="2">
        <f>historical_actuals3[[#This Row],[gross_profit]]-historical_actuals3[[#This Row],[labour_cost]]-historical_actuals3[[#This Row],[operating_expenses]]</f>
        <v>165392.58999999997</v>
      </c>
      <c r="J78" s="3">
        <f>IFERROR(historical_actuals3[[#This Row],[operating_profit]]/historical_actuals3[[#This Row],[net_sales]],0)</f>
        <v>0.10652428656445714</v>
      </c>
    </row>
    <row r="79" spans="1:10" x14ac:dyDescent="0.3">
      <c r="A79" t="s">
        <v>33</v>
      </c>
      <c r="B79" t="s">
        <v>16</v>
      </c>
      <c r="C79" s="2">
        <v>1522490</v>
      </c>
      <c r="D79" s="2">
        <v>1190150</v>
      </c>
      <c r="E79" s="2">
        <f>historical_actuals3[[#This Row],[net_sales]]-historical_actuals3[[#This Row],[cogs]]</f>
        <v>332340</v>
      </c>
      <c r="F79" s="3">
        <f>IFERROR(historical_actuals3[[#This Row],[gross_profit]]/historical_actuals3[[#This Row],[net_sales]],0)</f>
        <v>0.21828714802724483</v>
      </c>
      <c r="G79" s="2">
        <v>66272.91</v>
      </c>
      <c r="H79" s="2">
        <v>132529.98000000001</v>
      </c>
      <c r="I79" s="2">
        <f>historical_actuals3[[#This Row],[gross_profit]]-historical_actuals3[[#This Row],[labour_cost]]-historical_actuals3[[#This Row],[operating_expenses]]</f>
        <v>133537.10999999996</v>
      </c>
      <c r="J79" s="3">
        <f>IFERROR(historical_actuals3[[#This Row],[operating_profit]]/historical_actuals3[[#This Row],[net_sales]],0)</f>
        <v>8.7709679538125015E-2</v>
      </c>
    </row>
    <row r="80" spans="1:10" x14ac:dyDescent="0.3">
      <c r="A80" t="s">
        <v>33</v>
      </c>
      <c r="B80" t="s">
        <v>17</v>
      </c>
      <c r="C80" s="2">
        <v>1599932</v>
      </c>
      <c r="D80" s="2">
        <v>1251628</v>
      </c>
      <c r="E80" s="2">
        <f>historical_actuals3[[#This Row],[net_sales]]-historical_actuals3[[#This Row],[cogs]]</f>
        <v>348304</v>
      </c>
      <c r="F80" s="3">
        <f>IFERROR(historical_actuals3[[#This Row],[gross_profit]]/historical_actuals3[[#This Row],[net_sales]],0)</f>
        <v>0.21769925221821929</v>
      </c>
      <c r="G80" s="2">
        <v>66867.039999999994</v>
      </c>
      <c r="H80" s="2">
        <v>111155.03</v>
      </c>
      <c r="I80" s="2">
        <f>historical_actuals3[[#This Row],[gross_profit]]-historical_actuals3[[#This Row],[labour_cost]]-historical_actuals3[[#This Row],[operating_expenses]]</f>
        <v>170281.93000000002</v>
      </c>
      <c r="J80" s="3">
        <f>IFERROR(historical_actuals3[[#This Row],[operating_profit]]/historical_actuals3[[#This Row],[net_sales]],0)</f>
        <v>0.10643072955600615</v>
      </c>
    </row>
    <row r="81" spans="1:10" x14ac:dyDescent="0.3">
      <c r="A81" t="s">
        <v>33</v>
      </c>
      <c r="B81" t="s">
        <v>18</v>
      </c>
      <c r="C81" s="2">
        <v>1457551</v>
      </c>
      <c r="D81" s="2">
        <v>1133958</v>
      </c>
      <c r="E81" s="2">
        <f>historical_actuals3[[#This Row],[net_sales]]-historical_actuals3[[#This Row],[cogs]]</f>
        <v>323593</v>
      </c>
      <c r="F81" s="3">
        <f>IFERROR(historical_actuals3[[#This Row],[gross_profit]]/historical_actuals3[[#This Row],[net_sales]],0)</f>
        <v>0.22201144248125795</v>
      </c>
      <c r="G81" s="2">
        <v>67156.27</v>
      </c>
      <c r="H81" s="2">
        <v>120417.51</v>
      </c>
      <c r="I81" s="2">
        <f>historical_actuals3[[#This Row],[gross_profit]]-historical_actuals3[[#This Row],[labour_cost]]-historical_actuals3[[#This Row],[operating_expenses]]</f>
        <v>136019.21999999997</v>
      </c>
      <c r="J81" s="3">
        <f>IFERROR(historical_actuals3[[#This Row],[operating_profit]]/historical_actuals3[[#This Row],[net_sales]],0)</f>
        <v>9.3320384672646084E-2</v>
      </c>
    </row>
    <row r="82" spans="1:10" x14ac:dyDescent="0.3">
      <c r="A82" t="s">
        <v>33</v>
      </c>
      <c r="B82" t="s">
        <v>19</v>
      </c>
      <c r="C82" s="2">
        <v>1592711</v>
      </c>
      <c r="D82" s="2">
        <v>1256504</v>
      </c>
      <c r="E82" s="2">
        <f>historical_actuals3[[#This Row],[net_sales]]-historical_actuals3[[#This Row],[cogs]]</f>
        <v>336207</v>
      </c>
      <c r="F82" s="3">
        <f>IFERROR(historical_actuals3[[#This Row],[gross_profit]]/historical_actuals3[[#This Row],[net_sales]],0)</f>
        <v>0.21109102655786266</v>
      </c>
      <c r="G82" s="2">
        <v>69623.13</v>
      </c>
      <c r="H82" s="2">
        <v>119711.27</v>
      </c>
      <c r="I82" s="2">
        <f>historical_actuals3[[#This Row],[gross_profit]]-historical_actuals3[[#This Row],[labour_cost]]-historical_actuals3[[#This Row],[operating_expenses]]</f>
        <v>146872.59999999998</v>
      </c>
      <c r="J82" s="3">
        <f>IFERROR(historical_actuals3[[#This Row],[operating_profit]]/historical_actuals3[[#This Row],[net_sales]],0)</f>
        <v>9.2215474119284657E-2</v>
      </c>
    </row>
    <row r="83" spans="1:10" x14ac:dyDescent="0.3">
      <c r="A83" t="s">
        <v>33</v>
      </c>
      <c r="B83" t="s">
        <v>20</v>
      </c>
      <c r="C83" s="2">
        <v>1541443</v>
      </c>
      <c r="D83" s="2">
        <v>1210745</v>
      </c>
      <c r="E83" s="2">
        <f>historical_actuals3[[#This Row],[net_sales]]-historical_actuals3[[#This Row],[cogs]]</f>
        <v>330698</v>
      </c>
      <c r="F83" s="3">
        <f>IFERROR(historical_actuals3[[#This Row],[gross_profit]]/historical_actuals3[[#This Row],[net_sales]],0)</f>
        <v>0.21453793620652856</v>
      </c>
      <c r="G83" s="2">
        <v>68131.45</v>
      </c>
      <c r="H83" s="2">
        <v>136332.76</v>
      </c>
      <c r="I83" s="2">
        <f>historical_actuals3[[#This Row],[gross_profit]]-historical_actuals3[[#This Row],[labour_cost]]-historical_actuals3[[#This Row],[operating_expenses]]</f>
        <v>126233.78999999998</v>
      </c>
      <c r="J83" s="3">
        <f>IFERROR(historical_actuals3[[#This Row],[operating_profit]]/historical_actuals3[[#This Row],[net_sales]],0)</f>
        <v>8.1893258459767873E-2</v>
      </c>
    </row>
    <row r="84" spans="1:10" x14ac:dyDescent="0.3">
      <c r="A84" t="s">
        <v>33</v>
      </c>
      <c r="B84" t="s">
        <v>21</v>
      </c>
      <c r="C84" s="2">
        <v>1641300</v>
      </c>
      <c r="D84" s="2">
        <v>1264993</v>
      </c>
      <c r="E84" s="2">
        <f>historical_actuals3[[#This Row],[net_sales]]-historical_actuals3[[#This Row],[cogs]]</f>
        <v>376307</v>
      </c>
      <c r="F84" s="3">
        <f>IFERROR(historical_actuals3[[#This Row],[gross_profit]]/historical_actuals3[[#This Row],[net_sales]],0)</f>
        <v>0.22927374642052031</v>
      </c>
      <c r="G84" s="2">
        <v>66344.259999999995</v>
      </c>
      <c r="H84" s="2">
        <v>111377.75</v>
      </c>
      <c r="I84" s="2">
        <f>historical_actuals3[[#This Row],[gross_profit]]-historical_actuals3[[#This Row],[labour_cost]]-historical_actuals3[[#This Row],[operating_expenses]]</f>
        <v>198584.99</v>
      </c>
      <c r="J84" s="3">
        <f>IFERROR(historical_actuals3[[#This Row],[operating_profit]]/historical_actuals3[[#This Row],[net_sales]],0)</f>
        <v>0.12099249984768171</v>
      </c>
    </row>
    <row r="85" spans="1:10" x14ac:dyDescent="0.3">
      <c r="A85" t="s">
        <v>33</v>
      </c>
      <c r="B85" t="s">
        <v>22</v>
      </c>
      <c r="C85" s="2">
        <v>1615732</v>
      </c>
      <c r="D85" s="2">
        <v>1263292</v>
      </c>
      <c r="E85" s="2">
        <f>historical_actuals3[[#This Row],[net_sales]]-historical_actuals3[[#This Row],[cogs]]</f>
        <v>352440</v>
      </c>
      <c r="F85" s="3">
        <f>IFERROR(historical_actuals3[[#This Row],[gross_profit]]/historical_actuals3[[#This Row],[net_sales]],0)</f>
        <v>0.21813023446957788</v>
      </c>
      <c r="G85" s="2">
        <v>65426.559999999998</v>
      </c>
      <c r="H85" s="2">
        <v>131909.56</v>
      </c>
      <c r="I85" s="2">
        <f>historical_actuals3[[#This Row],[gross_profit]]-historical_actuals3[[#This Row],[labour_cost]]-historical_actuals3[[#This Row],[operating_expenses]]</f>
        <v>155103.88</v>
      </c>
      <c r="J85" s="3">
        <f>IFERROR(historical_actuals3[[#This Row],[operating_profit]]/historical_actuals3[[#This Row],[net_sales]],0)</f>
        <v>9.5996043898369285E-2</v>
      </c>
    </row>
    <row r="86" spans="1:10" x14ac:dyDescent="0.3">
      <c r="A86" t="s">
        <v>33</v>
      </c>
      <c r="B86" t="s">
        <v>23</v>
      </c>
      <c r="C86" s="2">
        <v>1543370</v>
      </c>
      <c r="D86" s="2">
        <v>1203332</v>
      </c>
      <c r="E86" s="2">
        <f>historical_actuals3[[#This Row],[net_sales]]-historical_actuals3[[#This Row],[cogs]]</f>
        <v>340038</v>
      </c>
      <c r="F86" s="3">
        <f>IFERROR(historical_actuals3[[#This Row],[gross_profit]]/historical_actuals3[[#This Row],[net_sales]],0)</f>
        <v>0.22032176341382817</v>
      </c>
      <c r="G86" s="2">
        <v>68123.75</v>
      </c>
      <c r="H86" s="2">
        <v>117748.49</v>
      </c>
      <c r="I86" s="2">
        <f>historical_actuals3[[#This Row],[gross_profit]]-historical_actuals3[[#This Row],[labour_cost]]-historical_actuals3[[#This Row],[operating_expenses]]</f>
        <v>154165.76000000001</v>
      </c>
      <c r="J86" s="3">
        <f>IFERROR(historical_actuals3[[#This Row],[operating_profit]]/historical_actuals3[[#This Row],[net_sales]],0)</f>
        <v>9.9889047992380312E-2</v>
      </c>
    </row>
    <row r="87" spans="1:10" x14ac:dyDescent="0.3">
      <c r="A87" t="s">
        <v>33</v>
      </c>
      <c r="B87" t="s">
        <v>24</v>
      </c>
      <c r="C87" s="2">
        <v>1582907</v>
      </c>
      <c r="D87" s="2">
        <v>1224441</v>
      </c>
      <c r="E87" s="2">
        <f>historical_actuals3[[#This Row],[net_sales]]-historical_actuals3[[#This Row],[cogs]]</f>
        <v>358466</v>
      </c>
      <c r="F87" s="3">
        <f>IFERROR(historical_actuals3[[#This Row],[gross_profit]]/historical_actuals3[[#This Row],[net_sales]],0)</f>
        <v>0.22646055643193189</v>
      </c>
      <c r="G87" s="2">
        <v>68473.210000000006</v>
      </c>
      <c r="H87" s="2">
        <v>117509.07</v>
      </c>
      <c r="I87" s="2">
        <f>historical_actuals3[[#This Row],[gross_profit]]-historical_actuals3[[#This Row],[labour_cost]]-historical_actuals3[[#This Row],[operating_expenses]]</f>
        <v>172483.71999999997</v>
      </c>
      <c r="J87" s="3">
        <f>IFERROR(historical_actuals3[[#This Row],[operating_profit]]/historical_actuals3[[#This Row],[net_sales]],0)</f>
        <v>0.10896642696001721</v>
      </c>
    </row>
    <row r="88" spans="1:10" x14ac:dyDescent="0.3">
      <c r="A88" t="s">
        <v>33</v>
      </c>
      <c r="B88" t="s">
        <v>25</v>
      </c>
      <c r="C88" s="2">
        <v>1399160</v>
      </c>
      <c r="D88" s="2">
        <v>1117819</v>
      </c>
      <c r="E88" s="2">
        <f>historical_actuals3[[#This Row],[net_sales]]-historical_actuals3[[#This Row],[cogs]]</f>
        <v>281341</v>
      </c>
      <c r="F88" s="3">
        <f>IFERROR(historical_actuals3[[#This Row],[gross_profit]]/historical_actuals3[[#This Row],[net_sales]],0)</f>
        <v>0.20107850424540438</v>
      </c>
      <c r="G88" s="2">
        <v>15741.63</v>
      </c>
      <c r="H88" s="2">
        <v>29923.33</v>
      </c>
      <c r="I88" s="2">
        <f>historical_actuals3[[#This Row],[gross_profit]]-historical_actuals3[[#This Row],[labour_cost]]-historical_actuals3[[#This Row],[operating_expenses]]</f>
        <v>235676.03999999998</v>
      </c>
      <c r="J88" s="3">
        <f>IFERROR(historical_actuals3[[#This Row],[operating_profit]]/historical_actuals3[[#This Row],[net_sales]],0)</f>
        <v>0.16844109322736497</v>
      </c>
    </row>
    <row r="89" spans="1:10" x14ac:dyDescent="0.3">
      <c r="A89" t="s">
        <v>33</v>
      </c>
      <c r="B89" t="s">
        <v>26</v>
      </c>
      <c r="C89" s="2">
        <v>1555715</v>
      </c>
      <c r="D89" s="2">
        <v>1211553</v>
      </c>
      <c r="E89" s="2">
        <f>historical_actuals3[[#This Row],[net_sales]]-historical_actuals3[[#This Row],[cogs]]</f>
        <v>344162</v>
      </c>
      <c r="F89" s="3">
        <f>IFERROR(historical_actuals3[[#This Row],[gross_profit]]/historical_actuals3[[#This Row],[net_sales]],0)</f>
        <v>0.22122432450673807</v>
      </c>
      <c r="G89" s="2">
        <v>15718.42</v>
      </c>
      <c r="H89" s="2">
        <v>27184.99</v>
      </c>
      <c r="I89" s="2">
        <f>historical_actuals3[[#This Row],[gross_profit]]-historical_actuals3[[#This Row],[labour_cost]]-historical_actuals3[[#This Row],[operating_expenses]]</f>
        <v>301258.59000000003</v>
      </c>
      <c r="J89" s="3">
        <f>IFERROR(historical_actuals3[[#This Row],[operating_profit]]/historical_actuals3[[#This Row],[net_sales]],0)</f>
        <v>0.19364638767383488</v>
      </c>
    </row>
    <row r="90" spans="1:10" x14ac:dyDescent="0.3">
      <c r="A90" t="s">
        <v>33</v>
      </c>
      <c r="B90" t="s">
        <v>27</v>
      </c>
      <c r="C90" s="2">
        <v>1485900</v>
      </c>
      <c r="D90" s="2">
        <v>1149220</v>
      </c>
      <c r="E90" s="2">
        <f>historical_actuals3[[#This Row],[net_sales]]-historical_actuals3[[#This Row],[cogs]]</f>
        <v>336680</v>
      </c>
      <c r="F90" s="3">
        <f>IFERROR(historical_actuals3[[#This Row],[gross_profit]]/historical_actuals3[[#This Row],[net_sales]],0)</f>
        <v>0.22658321555959351</v>
      </c>
      <c r="G90" s="2">
        <v>16239.86</v>
      </c>
      <c r="H90" s="2">
        <v>27362.12</v>
      </c>
      <c r="I90" s="2">
        <f>historical_actuals3[[#This Row],[gross_profit]]-historical_actuals3[[#This Row],[labour_cost]]-historical_actuals3[[#This Row],[operating_expenses]]</f>
        <v>293078.02</v>
      </c>
      <c r="J90" s="3">
        <f>IFERROR(historical_actuals3[[#This Row],[operating_profit]]/historical_actuals3[[#This Row],[net_sales]],0)</f>
        <v>0.19723939699845214</v>
      </c>
    </row>
    <row r="91" spans="1:10" x14ac:dyDescent="0.3">
      <c r="A91" t="s">
        <v>33</v>
      </c>
      <c r="B91" t="s">
        <v>28</v>
      </c>
      <c r="C91" s="2">
        <v>1574403</v>
      </c>
      <c r="D91" s="2">
        <v>1208463</v>
      </c>
      <c r="E91" s="2">
        <f>historical_actuals3[[#This Row],[net_sales]]-historical_actuals3[[#This Row],[cogs]]</f>
        <v>365940</v>
      </c>
      <c r="F91" s="3">
        <f>IFERROR(historical_actuals3[[#This Row],[gross_profit]]/historical_actuals3[[#This Row],[net_sales]],0)</f>
        <v>0.2324309595446655</v>
      </c>
      <c r="G91" s="2">
        <v>16010.21</v>
      </c>
      <c r="H91" s="2">
        <v>28277</v>
      </c>
      <c r="I91" s="2">
        <f>historical_actuals3[[#This Row],[gross_profit]]-historical_actuals3[[#This Row],[labour_cost]]-historical_actuals3[[#This Row],[operating_expenses]]</f>
        <v>321652.78999999998</v>
      </c>
      <c r="J91" s="3">
        <f>IFERROR(historical_actuals3[[#This Row],[operating_profit]]/historical_actuals3[[#This Row],[net_sales]],0)</f>
        <v>0.20430143362277636</v>
      </c>
    </row>
    <row r="92" spans="1:10" x14ac:dyDescent="0.3">
      <c r="A92" t="s">
        <v>33</v>
      </c>
      <c r="B92" t="s">
        <v>31</v>
      </c>
      <c r="C92" s="2">
        <v>2106742</v>
      </c>
      <c r="D92" s="2">
        <v>1630688</v>
      </c>
      <c r="E92" s="2">
        <f>historical_actuals3[[#This Row],[net_sales]]-historical_actuals3[[#This Row],[cogs]]</f>
        <v>476054</v>
      </c>
      <c r="F92" s="3">
        <f>IFERROR(historical_actuals3[[#This Row],[gross_profit]]/historical_actuals3[[#This Row],[net_sales]],0)</f>
        <v>0.22596691953737097</v>
      </c>
      <c r="G92" s="2">
        <v>15418.73</v>
      </c>
      <c r="H92" s="2">
        <v>29218.86</v>
      </c>
      <c r="I92" s="2">
        <f>historical_actuals3[[#This Row],[gross_profit]]-historical_actuals3[[#This Row],[labour_cost]]-historical_actuals3[[#This Row],[operating_expenses]]</f>
        <v>431416.41000000003</v>
      </c>
      <c r="J92" s="3">
        <f>IFERROR(historical_actuals3[[#This Row],[operating_profit]]/historical_actuals3[[#This Row],[net_sales]],0)</f>
        <v>0.20477894777813327</v>
      </c>
    </row>
    <row r="93" spans="1:10" x14ac:dyDescent="0.3">
      <c r="A93" t="s">
        <v>33</v>
      </c>
      <c r="B93" t="s">
        <v>32</v>
      </c>
      <c r="C93" s="2">
        <v>1694643</v>
      </c>
      <c r="D93" s="2">
        <v>1329886</v>
      </c>
      <c r="E93" s="2">
        <f>historical_actuals3[[#This Row],[net_sales]]-historical_actuals3[[#This Row],[cogs]]</f>
        <v>364757</v>
      </c>
      <c r="F93" s="3">
        <f>IFERROR(historical_actuals3[[#This Row],[gross_profit]]/historical_actuals3[[#This Row],[net_sales]],0)</f>
        <v>0.21524120419462978</v>
      </c>
      <c r="G93" s="2">
        <v>16090.53</v>
      </c>
      <c r="H93" s="2">
        <v>28140</v>
      </c>
      <c r="I93" s="2">
        <f>historical_actuals3[[#This Row],[gross_profit]]-historical_actuals3[[#This Row],[labour_cost]]-historical_actuals3[[#This Row],[operating_expenses]]</f>
        <v>320526.46999999997</v>
      </c>
      <c r="J93" s="3">
        <f>IFERROR(historical_actuals3[[#This Row],[operating_profit]]/historical_actuals3[[#This Row],[net_sales]],0)</f>
        <v>0.18914099901867235</v>
      </c>
    </row>
    <row r="94" spans="1:10" x14ac:dyDescent="0.3">
      <c r="A94" t="s">
        <v>34</v>
      </c>
      <c r="B94" t="s">
        <v>7</v>
      </c>
      <c r="C94" s="2">
        <v>1418332</v>
      </c>
      <c r="D94" s="2">
        <v>1110959</v>
      </c>
      <c r="E94" s="2">
        <f>historical_actuals3[[#This Row],[net_sales]]-historical_actuals3[[#This Row],[cogs]]</f>
        <v>307373</v>
      </c>
      <c r="F94" s="3">
        <f>IFERROR(historical_actuals3[[#This Row],[gross_profit]]/historical_actuals3[[#This Row],[net_sales]],0)</f>
        <v>0.21671442229322896</v>
      </c>
      <c r="G94" s="2">
        <v>69891.05</v>
      </c>
      <c r="H94" s="2">
        <v>133888.68</v>
      </c>
      <c r="I94" s="2">
        <f>historical_actuals3[[#This Row],[gross_profit]]-historical_actuals3[[#This Row],[labour_cost]]-historical_actuals3[[#This Row],[operating_expenses]]</f>
        <v>103593.27000000002</v>
      </c>
      <c r="J94" s="3">
        <f>IFERROR(historical_actuals3[[#This Row],[operating_profit]]/historical_actuals3[[#This Row],[net_sales]],0)</f>
        <v>7.303880191661756E-2</v>
      </c>
    </row>
    <row r="95" spans="1:10" x14ac:dyDescent="0.3">
      <c r="A95" t="s">
        <v>34</v>
      </c>
      <c r="B95" t="s">
        <v>8</v>
      </c>
      <c r="C95" s="2">
        <v>1655253</v>
      </c>
      <c r="D95" s="2">
        <v>1289987</v>
      </c>
      <c r="E95" s="2">
        <f>historical_actuals3[[#This Row],[net_sales]]-historical_actuals3[[#This Row],[cogs]]</f>
        <v>365266</v>
      </c>
      <c r="F95" s="3">
        <f>IFERROR(historical_actuals3[[#This Row],[gross_profit]]/historical_actuals3[[#This Row],[net_sales]],0)</f>
        <v>0.22067079775720086</v>
      </c>
      <c r="G95" s="2">
        <v>69922.92</v>
      </c>
      <c r="H95" s="2">
        <v>132149.35</v>
      </c>
      <c r="I95" s="2">
        <f>historical_actuals3[[#This Row],[gross_profit]]-historical_actuals3[[#This Row],[labour_cost]]-historical_actuals3[[#This Row],[operating_expenses]]</f>
        <v>163193.73000000001</v>
      </c>
      <c r="J95" s="3">
        <f>IFERROR(historical_actuals3[[#This Row],[operating_profit]]/historical_actuals3[[#This Row],[net_sales]],0)</f>
        <v>9.859141170564259E-2</v>
      </c>
    </row>
    <row r="96" spans="1:10" x14ac:dyDescent="0.3">
      <c r="A96" t="s">
        <v>34</v>
      </c>
      <c r="B96" t="s">
        <v>9</v>
      </c>
      <c r="C96" s="2">
        <v>1665196</v>
      </c>
      <c r="D96" s="2">
        <v>1309589</v>
      </c>
      <c r="E96" s="2">
        <f>historical_actuals3[[#This Row],[net_sales]]-historical_actuals3[[#This Row],[cogs]]</f>
        <v>355607</v>
      </c>
      <c r="F96" s="3">
        <f>IFERROR(historical_actuals3[[#This Row],[gross_profit]]/historical_actuals3[[#This Row],[net_sales]],0)</f>
        <v>0.21355263884851994</v>
      </c>
      <c r="G96" s="2">
        <v>69130.91</v>
      </c>
      <c r="H96" s="2">
        <v>115360.27</v>
      </c>
      <c r="I96" s="2">
        <f>historical_actuals3[[#This Row],[gross_profit]]-historical_actuals3[[#This Row],[labour_cost]]-historical_actuals3[[#This Row],[operating_expenses]]</f>
        <v>171115.81999999995</v>
      </c>
      <c r="J96" s="3">
        <f>IFERROR(historical_actuals3[[#This Row],[operating_profit]]/historical_actuals3[[#This Row],[net_sales]],0)</f>
        <v>0.10276016757186539</v>
      </c>
    </row>
    <row r="97" spans="1:10" x14ac:dyDescent="0.3">
      <c r="A97" t="s">
        <v>34</v>
      </c>
      <c r="B97" t="s">
        <v>10</v>
      </c>
      <c r="C97" s="2">
        <v>1519311</v>
      </c>
      <c r="D97" s="2">
        <v>1175890</v>
      </c>
      <c r="E97" s="2">
        <f>historical_actuals3[[#This Row],[net_sales]]-historical_actuals3[[#This Row],[cogs]]</f>
        <v>343421</v>
      </c>
      <c r="F97" s="3">
        <f>IFERROR(historical_actuals3[[#This Row],[gross_profit]]/historical_actuals3[[#This Row],[net_sales]],0)</f>
        <v>0.22603732876284052</v>
      </c>
      <c r="G97" s="2">
        <v>70396.210000000006</v>
      </c>
      <c r="H97" s="2">
        <v>126828.84</v>
      </c>
      <c r="I97" s="2">
        <f>historical_actuals3[[#This Row],[gross_profit]]-historical_actuals3[[#This Row],[labour_cost]]-historical_actuals3[[#This Row],[operating_expenses]]</f>
        <v>146195.94999999998</v>
      </c>
      <c r="J97" s="3">
        <f>IFERROR(historical_actuals3[[#This Row],[operating_profit]]/historical_actuals3[[#This Row],[net_sales]],0)</f>
        <v>9.6225163906533934E-2</v>
      </c>
    </row>
    <row r="98" spans="1:10" x14ac:dyDescent="0.3">
      <c r="A98" t="s">
        <v>34</v>
      </c>
      <c r="B98" t="s">
        <v>11</v>
      </c>
      <c r="C98" s="2">
        <v>1647599</v>
      </c>
      <c r="D98" s="2">
        <v>1310669</v>
      </c>
      <c r="E98" s="2">
        <f>historical_actuals3[[#This Row],[net_sales]]-historical_actuals3[[#This Row],[cogs]]</f>
        <v>336930</v>
      </c>
      <c r="F98" s="3">
        <f>IFERROR(historical_actuals3[[#This Row],[gross_profit]]/historical_actuals3[[#This Row],[net_sales]],0)</f>
        <v>0.20449757495604209</v>
      </c>
      <c r="G98" s="2">
        <v>70871.740000000005</v>
      </c>
      <c r="H98" s="2">
        <v>133704.57</v>
      </c>
      <c r="I98" s="2">
        <f>historical_actuals3[[#This Row],[gross_profit]]-historical_actuals3[[#This Row],[labour_cost]]-historical_actuals3[[#This Row],[operating_expenses]]</f>
        <v>132353.69</v>
      </c>
      <c r="J98" s="3">
        <f>IFERROR(historical_actuals3[[#This Row],[operating_profit]]/historical_actuals3[[#This Row],[net_sales]],0)</f>
        <v>8.0331251718409644E-2</v>
      </c>
    </row>
    <row r="99" spans="1:10" x14ac:dyDescent="0.3">
      <c r="A99" t="s">
        <v>34</v>
      </c>
      <c r="B99" t="s">
        <v>12</v>
      </c>
      <c r="C99" s="2">
        <v>1490546</v>
      </c>
      <c r="D99" s="2">
        <v>1163545</v>
      </c>
      <c r="E99" s="2">
        <f>historical_actuals3[[#This Row],[net_sales]]-historical_actuals3[[#This Row],[cogs]]</f>
        <v>327001</v>
      </c>
      <c r="F99" s="3">
        <f>IFERROR(historical_actuals3[[#This Row],[gross_profit]]/historical_actuals3[[#This Row],[net_sales]],0)</f>
        <v>0.21938336690045124</v>
      </c>
      <c r="G99" s="2">
        <v>71487.61</v>
      </c>
      <c r="H99" s="2">
        <v>120445.96</v>
      </c>
      <c r="I99" s="2">
        <f>historical_actuals3[[#This Row],[gross_profit]]-historical_actuals3[[#This Row],[labour_cost]]-historical_actuals3[[#This Row],[operating_expenses]]</f>
        <v>135067.43</v>
      </c>
      <c r="J99" s="3">
        <f>IFERROR(historical_actuals3[[#This Row],[operating_profit]]/historical_actuals3[[#This Row],[net_sales]],0)</f>
        <v>9.0616076256620048E-2</v>
      </c>
    </row>
    <row r="100" spans="1:10" x14ac:dyDescent="0.3">
      <c r="A100" t="s">
        <v>34</v>
      </c>
      <c r="B100" t="s">
        <v>13</v>
      </c>
      <c r="C100" s="2">
        <v>1623299</v>
      </c>
      <c r="D100" s="2">
        <v>1274768</v>
      </c>
      <c r="E100" s="2">
        <f>historical_actuals3[[#This Row],[net_sales]]-historical_actuals3[[#This Row],[cogs]]</f>
        <v>348531</v>
      </c>
      <c r="F100" s="3">
        <f>IFERROR(historical_actuals3[[#This Row],[gross_profit]]/historical_actuals3[[#This Row],[net_sales]],0)</f>
        <v>0.2147053623516062</v>
      </c>
      <c r="G100" s="2">
        <v>66451.86</v>
      </c>
      <c r="H100" s="2">
        <v>132433.71</v>
      </c>
      <c r="I100" s="2">
        <f>historical_actuals3[[#This Row],[gross_profit]]-historical_actuals3[[#This Row],[labour_cost]]-historical_actuals3[[#This Row],[operating_expenses]]</f>
        <v>149645.43000000002</v>
      </c>
      <c r="J100" s="3">
        <f>IFERROR(historical_actuals3[[#This Row],[operating_profit]]/historical_actuals3[[#This Row],[net_sales]],0)</f>
        <v>9.2185992845433912E-2</v>
      </c>
    </row>
    <row r="101" spans="1:10" x14ac:dyDescent="0.3">
      <c r="A101" t="s">
        <v>34</v>
      </c>
      <c r="B101" t="s">
        <v>14</v>
      </c>
      <c r="C101" s="2">
        <v>1620851</v>
      </c>
      <c r="D101" s="2">
        <v>1289441</v>
      </c>
      <c r="E101" s="2">
        <f>historical_actuals3[[#This Row],[net_sales]]-historical_actuals3[[#This Row],[cogs]]</f>
        <v>331410</v>
      </c>
      <c r="F101" s="3">
        <f>IFERROR(historical_actuals3[[#This Row],[gross_profit]]/historical_actuals3[[#This Row],[net_sales]],0)</f>
        <v>0.2044666659674455</v>
      </c>
      <c r="G101" s="2">
        <v>69172.81</v>
      </c>
      <c r="H101" s="2">
        <v>111692.24</v>
      </c>
      <c r="I101" s="2">
        <f>historical_actuals3[[#This Row],[gross_profit]]-historical_actuals3[[#This Row],[labour_cost]]-historical_actuals3[[#This Row],[operating_expenses]]</f>
        <v>150544.95000000001</v>
      </c>
      <c r="J101" s="3">
        <f>IFERROR(historical_actuals3[[#This Row],[operating_profit]]/historical_actuals3[[#This Row],[net_sales]],0)</f>
        <v>9.2880190714630773E-2</v>
      </c>
    </row>
    <row r="102" spans="1:10" x14ac:dyDescent="0.3">
      <c r="A102" t="s">
        <v>34</v>
      </c>
      <c r="B102" t="s">
        <v>15</v>
      </c>
      <c r="C102" s="2">
        <v>1540484</v>
      </c>
      <c r="D102" s="2">
        <v>1220598</v>
      </c>
      <c r="E102" s="2">
        <f>historical_actuals3[[#This Row],[net_sales]]-historical_actuals3[[#This Row],[cogs]]</f>
        <v>319886</v>
      </c>
      <c r="F102" s="3">
        <f>IFERROR(historical_actuals3[[#This Row],[gross_profit]]/historical_actuals3[[#This Row],[net_sales]],0)</f>
        <v>0.20765291947206202</v>
      </c>
      <c r="G102" s="2">
        <v>67850.039999999994</v>
      </c>
      <c r="H102" s="2">
        <v>113922.2</v>
      </c>
      <c r="I102" s="2">
        <f>historical_actuals3[[#This Row],[gross_profit]]-historical_actuals3[[#This Row],[labour_cost]]-historical_actuals3[[#This Row],[operating_expenses]]</f>
        <v>138113.76</v>
      </c>
      <c r="J102" s="3">
        <f>IFERROR(historical_actuals3[[#This Row],[operating_profit]]/historical_actuals3[[#This Row],[net_sales]],0)</f>
        <v>8.9656082114452348E-2</v>
      </c>
    </row>
    <row r="103" spans="1:10" x14ac:dyDescent="0.3">
      <c r="A103" t="s">
        <v>34</v>
      </c>
      <c r="B103" t="s">
        <v>16</v>
      </c>
      <c r="C103" s="2">
        <v>1523740</v>
      </c>
      <c r="D103" s="2">
        <v>1191540</v>
      </c>
      <c r="E103" s="2">
        <f>historical_actuals3[[#This Row],[net_sales]]-historical_actuals3[[#This Row],[cogs]]</f>
        <v>332200</v>
      </c>
      <c r="F103" s="3">
        <f>IFERROR(historical_actuals3[[#This Row],[gross_profit]]/historical_actuals3[[#This Row],[net_sales]],0)</f>
        <v>0.21801619698898761</v>
      </c>
      <c r="G103" s="2">
        <v>68559.789999999994</v>
      </c>
      <c r="H103" s="2">
        <v>121557</v>
      </c>
      <c r="I103" s="2">
        <f>historical_actuals3[[#This Row],[gross_profit]]-historical_actuals3[[#This Row],[labour_cost]]-historical_actuals3[[#This Row],[operating_expenses]]</f>
        <v>142083.21000000002</v>
      </c>
      <c r="J103" s="3">
        <f>IFERROR(historical_actuals3[[#This Row],[operating_profit]]/historical_actuals3[[#This Row],[net_sales]],0)</f>
        <v>9.3246360927717348E-2</v>
      </c>
    </row>
    <row r="104" spans="1:10" x14ac:dyDescent="0.3">
      <c r="A104" t="s">
        <v>34</v>
      </c>
      <c r="B104" t="s">
        <v>17</v>
      </c>
      <c r="C104" s="2">
        <v>1660830</v>
      </c>
      <c r="D104" s="2">
        <v>1296383</v>
      </c>
      <c r="E104" s="2">
        <f>historical_actuals3[[#This Row],[net_sales]]-historical_actuals3[[#This Row],[cogs]]</f>
        <v>364447</v>
      </c>
      <c r="F104" s="3">
        <f>IFERROR(historical_actuals3[[#This Row],[gross_profit]]/historical_actuals3[[#This Row],[net_sales]],0)</f>
        <v>0.21943666720856439</v>
      </c>
      <c r="G104" s="2">
        <v>71074.929999999993</v>
      </c>
      <c r="H104" s="2">
        <v>135034.13</v>
      </c>
      <c r="I104" s="2">
        <f>historical_actuals3[[#This Row],[gross_profit]]-historical_actuals3[[#This Row],[labour_cost]]-historical_actuals3[[#This Row],[operating_expenses]]</f>
        <v>158337.94</v>
      </c>
      <c r="J104" s="3">
        <f>IFERROR(historical_actuals3[[#This Row],[operating_profit]]/historical_actuals3[[#This Row],[net_sales]],0)</f>
        <v>9.5336632888375086E-2</v>
      </c>
    </row>
    <row r="105" spans="1:10" x14ac:dyDescent="0.3">
      <c r="A105" t="s">
        <v>34</v>
      </c>
      <c r="B105" t="s">
        <v>18</v>
      </c>
      <c r="C105" s="2">
        <v>1763434</v>
      </c>
      <c r="D105" s="2">
        <v>1373101</v>
      </c>
      <c r="E105" s="2">
        <f>historical_actuals3[[#This Row],[net_sales]]-historical_actuals3[[#This Row],[cogs]]</f>
        <v>390333</v>
      </c>
      <c r="F105" s="3">
        <f>IFERROR(historical_actuals3[[#This Row],[gross_profit]]/historical_actuals3[[#This Row],[net_sales]],0)</f>
        <v>0.22134823304983345</v>
      </c>
      <c r="G105" s="2">
        <v>70492.320000000007</v>
      </c>
      <c r="H105" s="2">
        <v>121834.45</v>
      </c>
      <c r="I105" s="2">
        <f>historical_actuals3[[#This Row],[gross_profit]]-historical_actuals3[[#This Row],[labour_cost]]-historical_actuals3[[#This Row],[operating_expenses]]</f>
        <v>198006.22999999998</v>
      </c>
      <c r="J105" s="3">
        <f>IFERROR(historical_actuals3[[#This Row],[operating_profit]]/historical_actuals3[[#This Row],[net_sales]],0)</f>
        <v>0.11228445748465776</v>
      </c>
    </row>
    <row r="106" spans="1:10" x14ac:dyDescent="0.3">
      <c r="A106" t="s">
        <v>34</v>
      </c>
      <c r="B106" t="s">
        <v>19</v>
      </c>
      <c r="C106" s="2">
        <v>1523467</v>
      </c>
      <c r="D106" s="2">
        <v>1188505</v>
      </c>
      <c r="E106" s="2">
        <f>historical_actuals3[[#This Row],[net_sales]]-historical_actuals3[[#This Row],[cogs]]</f>
        <v>334962</v>
      </c>
      <c r="F106" s="3">
        <f>IFERROR(historical_actuals3[[#This Row],[gross_profit]]/historical_actuals3[[#This Row],[net_sales]],0)</f>
        <v>0.21986823475664388</v>
      </c>
      <c r="G106" s="2">
        <v>69415.25</v>
      </c>
      <c r="H106" s="2">
        <v>138673.91</v>
      </c>
      <c r="I106" s="2">
        <f>historical_actuals3[[#This Row],[gross_profit]]-historical_actuals3[[#This Row],[labour_cost]]-historical_actuals3[[#This Row],[operating_expenses]]</f>
        <v>126872.84</v>
      </c>
      <c r="J106" s="3">
        <f>IFERROR(historical_actuals3[[#This Row],[operating_profit]]/historical_actuals3[[#This Row],[net_sales]],0)</f>
        <v>8.3279020812396978E-2</v>
      </c>
    </row>
    <row r="107" spans="1:10" x14ac:dyDescent="0.3">
      <c r="A107" t="s">
        <v>34</v>
      </c>
      <c r="B107" t="s">
        <v>20</v>
      </c>
      <c r="C107" s="2">
        <v>1511159</v>
      </c>
      <c r="D107" s="2">
        <v>1216031</v>
      </c>
      <c r="E107" s="2">
        <f>historical_actuals3[[#This Row],[net_sales]]-historical_actuals3[[#This Row],[cogs]]</f>
        <v>295128</v>
      </c>
      <c r="F107" s="3">
        <f>IFERROR(historical_actuals3[[#This Row],[gross_profit]]/historical_actuals3[[#This Row],[net_sales]],0)</f>
        <v>0.19529910485925042</v>
      </c>
      <c r="G107" s="2">
        <v>71895.62</v>
      </c>
      <c r="H107" s="2">
        <v>112470.03</v>
      </c>
      <c r="I107" s="2">
        <f>historical_actuals3[[#This Row],[gross_profit]]-historical_actuals3[[#This Row],[labour_cost]]-historical_actuals3[[#This Row],[operating_expenses]]</f>
        <v>110762.35</v>
      </c>
      <c r="J107" s="3">
        <f>IFERROR(historical_actuals3[[#This Row],[operating_profit]]/historical_actuals3[[#This Row],[net_sales]],0)</f>
        <v>7.3296291124891555E-2</v>
      </c>
    </row>
    <row r="108" spans="1:10" x14ac:dyDescent="0.3">
      <c r="A108" t="s">
        <v>34</v>
      </c>
      <c r="B108" t="s">
        <v>21</v>
      </c>
      <c r="C108" s="2">
        <v>1482024</v>
      </c>
      <c r="D108" s="2">
        <v>1188307</v>
      </c>
      <c r="E108" s="2">
        <f>historical_actuals3[[#This Row],[net_sales]]-historical_actuals3[[#This Row],[cogs]]</f>
        <v>293717</v>
      </c>
      <c r="F108" s="3">
        <f>IFERROR(historical_actuals3[[#This Row],[gross_profit]]/historical_actuals3[[#This Row],[net_sales]],0)</f>
        <v>0.19818639914063471</v>
      </c>
      <c r="G108" s="2">
        <v>69495.600000000006</v>
      </c>
      <c r="H108" s="2">
        <v>118238.52</v>
      </c>
      <c r="I108" s="2">
        <f>historical_actuals3[[#This Row],[gross_profit]]-historical_actuals3[[#This Row],[labour_cost]]-historical_actuals3[[#This Row],[operating_expenses]]</f>
        <v>105982.87999999999</v>
      </c>
      <c r="J108" s="3">
        <f>IFERROR(historical_actuals3[[#This Row],[operating_profit]]/historical_actuals3[[#This Row],[net_sales]],0)</f>
        <v>7.1512256211775246E-2</v>
      </c>
    </row>
    <row r="109" spans="1:10" x14ac:dyDescent="0.3">
      <c r="A109" t="s">
        <v>34</v>
      </c>
      <c r="B109" t="s">
        <v>22</v>
      </c>
      <c r="C109" s="2">
        <v>1501300</v>
      </c>
      <c r="D109" s="2">
        <v>1211278</v>
      </c>
      <c r="E109" s="2">
        <f>historical_actuals3[[#This Row],[net_sales]]-historical_actuals3[[#This Row],[cogs]]</f>
        <v>290022</v>
      </c>
      <c r="F109" s="3">
        <f>IFERROR(historical_actuals3[[#This Row],[gross_profit]]/historical_actuals3[[#This Row],[net_sales]],0)</f>
        <v>0.19318057683341106</v>
      </c>
      <c r="G109" s="2">
        <v>68538.399999999994</v>
      </c>
      <c r="H109" s="2">
        <v>133130.26</v>
      </c>
      <c r="I109" s="2">
        <f>historical_actuals3[[#This Row],[gross_profit]]-historical_actuals3[[#This Row],[labour_cost]]-historical_actuals3[[#This Row],[operating_expenses]]</f>
        <v>88353.34</v>
      </c>
      <c r="J109" s="3">
        <f>IFERROR(historical_actuals3[[#This Row],[operating_profit]]/historical_actuals3[[#This Row],[net_sales]],0)</f>
        <v>5.8851222274029169E-2</v>
      </c>
    </row>
    <row r="110" spans="1:10" x14ac:dyDescent="0.3">
      <c r="A110" t="s">
        <v>34</v>
      </c>
      <c r="B110" t="s">
        <v>23</v>
      </c>
      <c r="C110" s="2">
        <v>1576972</v>
      </c>
      <c r="D110" s="2">
        <v>1269204</v>
      </c>
      <c r="E110" s="2">
        <f>historical_actuals3[[#This Row],[net_sales]]-historical_actuals3[[#This Row],[cogs]]</f>
        <v>307768</v>
      </c>
      <c r="F110" s="3">
        <f>IFERROR(historical_actuals3[[#This Row],[gross_profit]]/historical_actuals3[[#This Row],[net_sales]],0)</f>
        <v>0.19516389637862944</v>
      </c>
      <c r="G110" s="2">
        <v>70005.94</v>
      </c>
      <c r="H110" s="2">
        <v>125502.37</v>
      </c>
      <c r="I110" s="2">
        <f>historical_actuals3[[#This Row],[gross_profit]]-historical_actuals3[[#This Row],[labour_cost]]-historical_actuals3[[#This Row],[operating_expenses]]</f>
        <v>112259.69</v>
      </c>
      <c r="J110" s="3">
        <f>IFERROR(historical_actuals3[[#This Row],[operating_profit]]/historical_actuals3[[#This Row],[net_sales]],0)</f>
        <v>7.1186863178293591E-2</v>
      </c>
    </row>
    <row r="111" spans="1:10" x14ac:dyDescent="0.3">
      <c r="A111" t="s">
        <v>34</v>
      </c>
      <c r="B111" t="s">
        <v>24</v>
      </c>
      <c r="C111" s="2">
        <v>1536135</v>
      </c>
      <c r="D111" s="2">
        <v>1242446</v>
      </c>
      <c r="E111" s="2">
        <f>historical_actuals3[[#This Row],[net_sales]]-historical_actuals3[[#This Row],[cogs]]</f>
        <v>293689</v>
      </c>
      <c r="F111" s="3">
        <f>IFERROR(historical_actuals3[[#This Row],[gross_profit]]/historical_actuals3[[#This Row],[net_sales]],0)</f>
        <v>0.19118697249916186</v>
      </c>
      <c r="G111" s="2">
        <v>70127.83</v>
      </c>
      <c r="H111" s="2">
        <v>114052.82</v>
      </c>
      <c r="I111" s="2">
        <f>historical_actuals3[[#This Row],[gross_profit]]-historical_actuals3[[#This Row],[labour_cost]]-historical_actuals3[[#This Row],[operating_expenses]]</f>
        <v>109508.34999999998</v>
      </c>
      <c r="J111" s="3">
        <f>IFERROR(historical_actuals3[[#This Row],[operating_profit]]/historical_actuals3[[#This Row],[net_sales]],0)</f>
        <v>7.1288233130551659E-2</v>
      </c>
    </row>
    <row r="112" spans="1:10" x14ac:dyDescent="0.3">
      <c r="A112" t="s">
        <v>34</v>
      </c>
      <c r="B112" t="s">
        <v>25</v>
      </c>
      <c r="C112" s="2">
        <v>1511011</v>
      </c>
      <c r="D112" s="2">
        <v>1193966</v>
      </c>
      <c r="E112" s="2">
        <f>historical_actuals3[[#This Row],[net_sales]]-historical_actuals3[[#This Row],[cogs]]</f>
        <v>317045</v>
      </c>
      <c r="F112" s="3">
        <f>IFERROR(historical_actuals3[[#This Row],[gross_profit]]/historical_actuals3[[#This Row],[net_sales]],0)</f>
        <v>0.20982309195631269</v>
      </c>
      <c r="G112" s="2">
        <v>16438.87</v>
      </c>
      <c r="H112" s="2">
        <v>28202.09</v>
      </c>
      <c r="I112" s="2">
        <f>historical_actuals3[[#This Row],[gross_profit]]-historical_actuals3[[#This Row],[labour_cost]]-historical_actuals3[[#This Row],[operating_expenses]]</f>
        <v>272404.03999999998</v>
      </c>
      <c r="J112" s="3">
        <f>IFERROR(historical_actuals3[[#This Row],[operating_profit]]/historical_actuals3[[#This Row],[net_sales]],0)</f>
        <v>0.18027932291690793</v>
      </c>
    </row>
    <row r="113" spans="1:10" x14ac:dyDescent="0.3">
      <c r="A113" t="s">
        <v>34</v>
      </c>
      <c r="B113" t="s">
        <v>26</v>
      </c>
      <c r="C113" s="2">
        <v>1680157</v>
      </c>
      <c r="D113" s="2">
        <v>1319489</v>
      </c>
      <c r="E113" s="2">
        <f>historical_actuals3[[#This Row],[net_sales]]-historical_actuals3[[#This Row],[cogs]]</f>
        <v>360668</v>
      </c>
      <c r="F113" s="3">
        <f>IFERROR(historical_actuals3[[#This Row],[gross_profit]]/historical_actuals3[[#This Row],[net_sales]],0)</f>
        <v>0.2146632725394115</v>
      </c>
      <c r="G113" s="2">
        <v>16100.49</v>
      </c>
      <c r="H113" s="2">
        <v>30700.52</v>
      </c>
      <c r="I113" s="2">
        <f>historical_actuals3[[#This Row],[gross_profit]]-historical_actuals3[[#This Row],[labour_cost]]-historical_actuals3[[#This Row],[operating_expenses]]</f>
        <v>313866.99</v>
      </c>
      <c r="J113" s="3">
        <f>IFERROR(historical_actuals3[[#This Row],[operating_profit]]/historical_actuals3[[#This Row],[net_sales]],0)</f>
        <v>0.18680813162103302</v>
      </c>
    </row>
    <row r="114" spans="1:10" x14ac:dyDescent="0.3">
      <c r="A114" t="s">
        <v>34</v>
      </c>
      <c r="B114" t="s">
        <v>27</v>
      </c>
      <c r="C114" s="2">
        <v>1642821</v>
      </c>
      <c r="D114" s="2">
        <v>1312951</v>
      </c>
      <c r="E114" s="2">
        <f>historical_actuals3[[#This Row],[net_sales]]-historical_actuals3[[#This Row],[cogs]]</f>
        <v>329870</v>
      </c>
      <c r="F114" s="3">
        <f>IFERROR(historical_actuals3[[#This Row],[gross_profit]]/historical_actuals3[[#This Row],[net_sales]],0)</f>
        <v>0.20079485226935861</v>
      </c>
      <c r="G114" s="2">
        <v>16035.52</v>
      </c>
      <c r="H114" s="2">
        <v>25807.68</v>
      </c>
      <c r="I114" s="2">
        <f>historical_actuals3[[#This Row],[gross_profit]]-historical_actuals3[[#This Row],[labour_cost]]-historical_actuals3[[#This Row],[operating_expenses]]</f>
        <v>288026.8</v>
      </c>
      <c r="J114" s="3">
        <f>IFERROR(historical_actuals3[[#This Row],[operating_profit]]/historical_actuals3[[#This Row],[net_sales]],0)</f>
        <v>0.1753245180089614</v>
      </c>
    </row>
    <row r="115" spans="1:10" x14ac:dyDescent="0.3">
      <c r="A115" t="s">
        <v>34</v>
      </c>
      <c r="B115" t="s">
        <v>28</v>
      </c>
      <c r="C115" s="2">
        <v>1789962</v>
      </c>
      <c r="D115" s="2">
        <v>1393451</v>
      </c>
      <c r="E115" s="2">
        <f>historical_actuals3[[#This Row],[net_sales]]-historical_actuals3[[#This Row],[cogs]]</f>
        <v>396511</v>
      </c>
      <c r="F115" s="3">
        <f>IFERROR(historical_actuals3[[#This Row],[gross_profit]]/historical_actuals3[[#This Row],[net_sales]],0)</f>
        <v>0.22151922778248923</v>
      </c>
      <c r="G115" s="2">
        <v>16325.52</v>
      </c>
      <c r="H115" s="2">
        <v>27073.49</v>
      </c>
      <c r="I115" s="2">
        <f>historical_actuals3[[#This Row],[gross_profit]]-historical_actuals3[[#This Row],[labour_cost]]-historical_actuals3[[#This Row],[operating_expenses]]</f>
        <v>353111.99</v>
      </c>
      <c r="J115" s="3">
        <f>IFERROR(historical_actuals3[[#This Row],[operating_profit]]/historical_actuals3[[#This Row],[net_sales]],0)</f>
        <v>0.19727345608454258</v>
      </c>
    </row>
    <row r="116" spans="1:10" x14ac:dyDescent="0.3">
      <c r="A116" t="s">
        <v>34</v>
      </c>
      <c r="B116" t="s">
        <v>31</v>
      </c>
      <c r="C116" s="2">
        <v>1986691</v>
      </c>
      <c r="D116" s="2">
        <v>1545615</v>
      </c>
      <c r="E116" s="2">
        <f>historical_actuals3[[#This Row],[net_sales]]-historical_actuals3[[#This Row],[cogs]]</f>
        <v>441076</v>
      </c>
      <c r="F116" s="3">
        <f>IFERROR(historical_actuals3[[#This Row],[gross_profit]]/historical_actuals3[[#This Row],[net_sales]],0)</f>
        <v>0.22201540148920995</v>
      </c>
      <c r="G116" s="2">
        <v>16591.990000000002</v>
      </c>
      <c r="H116" s="2">
        <v>26614.97</v>
      </c>
      <c r="I116" s="2">
        <f>historical_actuals3[[#This Row],[gross_profit]]-historical_actuals3[[#This Row],[labour_cost]]-historical_actuals3[[#This Row],[operating_expenses]]</f>
        <v>397869.04000000004</v>
      </c>
      <c r="J116" s="3">
        <f>IFERROR(historical_actuals3[[#This Row],[operating_profit]]/historical_actuals3[[#This Row],[net_sales]],0)</f>
        <v>0.20026719806955387</v>
      </c>
    </row>
    <row r="117" spans="1:10" x14ac:dyDescent="0.3">
      <c r="A117" t="s">
        <v>34</v>
      </c>
      <c r="B117" t="s">
        <v>32</v>
      </c>
      <c r="C117" s="2">
        <v>1924741</v>
      </c>
      <c r="D117" s="2">
        <v>1532725</v>
      </c>
      <c r="E117" s="2">
        <f>historical_actuals3[[#This Row],[net_sales]]-historical_actuals3[[#This Row],[cogs]]</f>
        <v>392016</v>
      </c>
      <c r="F117" s="3">
        <f>IFERROR(historical_actuals3[[#This Row],[gross_profit]]/historical_actuals3[[#This Row],[net_sales]],0)</f>
        <v>0.20367207847705224</v>
      </c>
      <c r="G117" s="2">
        <v>16190.59</v>
      </c>
      <c r="H117" s="2">
        <v>25758.94</v>
      </c>
      <c r="I117" s="2">
        <f>historical_actuals3[[#This Row],[gross_profit]]-historical_actuals3[[#This Row],[labour_cost]]-historical_actuals3[[#This Row],[operating_expenses]]</f>
        <v>350066.47</v>
      </c>
      <c r="J117" s="3">
        <f>IFERROR(historical_actuals3[[#This Row],[operating_profit]]/historical_actuals3[[#This Row],[net_sales]],0)</f>
        <v>0.18187718243649403</v>
      </c>
    </row>
    <row r="118" spans="1:10" x14ac:dyDescent="0.3">
      <c r="A118" t="s">
        <v>35</v>
      </c>
      <c r="B118" t="s">
        <v>7</v>
      </c>
      <c r="C118" s="2">
        <v>1587027</v>
      </c>
      <c r="D118" s="2">
        <v>1262288</v>
      </c>
      <c r="E118" s="2">
        <f>historical_actuals3[[#This Row],[net_sales]]-historical_actuals3[[#This Row],[cogs]]</f>
        <v>324739</v>
      </c>
      <c r="F118" s="3">
        <f>IFERROR(historical_actuals3[[#This Row],[gross_profit]]/historical_actuals3[[#This Row],[net_sales]],0)</f>
        <v>0.20462096738114727</v>
      </c>
      <c r="G118" s="2">
        <v>69719.42</v>
      </c>
      <c r="H118" s="2">
        <v>115412.8</v>
      </c>
      <c r="I118" s="2">
        <f>historical_actuals3[[#This Row],[gross_profit]]-historical_actuals3[[#This Row],[labour_cost]]-historical_actuals3[[#This Row],[operating_expenses]]</f>
        <v>139606.78000000003</v>
      </c>
      <c r="J118" s="3">
        <f>IFERROR(historical_actuals3[[#This Row],[operating_profit]]/historical_actuals3[[#This Row],[net_sales]],0)</f>
        <v>8.7967488895904125E-2</v>
      </c>
    </row>
    <row r="119" spans="1:10" x14ac:dyDescent="0.3">
      <c r="A119" t="s">
        <v>35</v>
      </c>
      <c r="B119" t="s">
        <v>8</v>
      </c>
      <c r="C119" s="2">
        <v>1554170</v>
      </c>
      <c r="D119" s="2">
        <v>1214371</v>
      </c>
      <c r="E119" s="2">
        <f>historical_actuals3[[#This Row],[net_sales]]-historical_actuals3[[#This Row],[cogs]]</f>
        <v>339799</v>
      </c>
      <c r="F119" s="3">
        <f>IFERROR(historical_actuals3[[#This Row],[gross_profit]]/historical_actuals3[[#This Row],[net_sales]],0)</f>
        <v>0.21863695734700836</v>
      </c>
      <c r="G119" s="2">
        <v>66021.14</v>
      </c>
      <c r="H119" s="2">
        <v>112862.31</v>
      </c>
      <c r="I119" s="2">
        <f>historical_actuals3[[#This Row],[gross_profit]]-historical_actuals3[[#This Row],[labour_cost]]-historical_actuals3[[#This Row],[operating_expenses]]</f>
        <v>160915.54999999999</v>
      </c>
      <c r="J119" s="3">
        <f>IFERROR(historical_actuals3[[#This Row],[operating_profit]]/historical_actuals3[[#This Row],[net_sales]],0)</f>
        <v>0.10353793343070578</v>
      </c>
    </row>
    <row r="120" spans="1:10" x14ac:dyDescent="0.3">
      <c r="A120" t="s">
        <v>35</v>
      </c>
      <c r="B120" t="s">
        <v>9</v>
      </c>
      <c r="C120" s="2">
        <v>1525339</v>
      </c>
      <c r="D120" s="2">
        <v>1203144</v>
      </c>
      <c r="E120" s="2">
        <f>historical_actuals3[[#This Row],[net_sales]]-historical_actuals3[[#This Row],[cogs]]</f>
        <v>322195</v>
      </c>
      <c r="F120" s="3">
        <f>IFERROR(historical_actuals3[[#This Row],[gross_profit]]/historical_actuals3[[#This Row],[net_sales]],0)</f>
        <v>0.21122845478939437</v>
      </c>
      <c r="G120" s="2">
        <v>66565.31</v>
      </c>
      <c r="H120" s="2">
        <v>126511.03</v>
      </c>
      <c r="I120" s="2">
        <f>historical_actuals3[[#This Row],[gross_profit]]-historical_actuals3[[#This Row],[labour_cost]]-historical_actuals3[[#This Row],[operating_expenses]]</f>
        <v>129118.66</v>
      </c>
      <c r="J120" s="3">
        <f>IFERROR(historical_actuals3[[#This Row],[operating_profit]]/historical_actuals3[[#This Row],[net_sales]],0)</f>
        <v>8.4649156679269338E-2</v>
      </c>
    </row>
    <row r="121" spans="1:10" x14ac:dyDescent="0.3">
      <c r="A121" t="s">
        <v>35</v>
      </c>
      <c r="B121" t="s">
        <v>10</v>
      </c>
      <c r="C121" s="2">
        <v>1563570</v>
      </c>
      <c r="D121" s="2">
        <v>1210140</v>
      </c>
      <c r="E121" s="2">
        <f>historical_actuals3[[#This Row],[net_sales]]-historical_actuals3[[#This Row],[cogs]]</f>
        <v>353430</v>
      </c>
      <c r="F121" s="3">
        <f>IFERROR(historical_actuals3[[#This Row],[gross_profit]]/historical_actuals3[[#This Row],[net_sales]],0)</f>
        <v>0.22604040752892418</v>
      </c>
      <c r="G121" s="2">
        <v>69279.95</v>
      </c>
      <c r="H121" s="2">
        <v>130272.59</v>
      </c>
      <c r="I121" s="2">
        <f>historical_actuals3[[#This Row],[gross_profit]]-historical_actuals3[[#This Row],[labour_cost]]-historical_actuals3[[#This Row],[operating_expenses]]</f>
        <v>153877.46</v>
      </c>
      <c r="J121" s="3">
        <f>IFERROR(historical_actuals3[[#This Row],[operating_profit]]/historical_actuals3[[#This Row],[net_sales]],0)</f>
        <v>9.8414180369283108E-2</v>
      </c>
    </row>
    <row r="122" spans="1:10" x14ac:dyDescent="0.3">
      <c r="A122" t="s">
        <v>35</v>
      </c>
      <c r="B122" t="s">
        <v>11</v>
      </c>
      <c r="C122" s="2">
        <v>1593915</v>
      </c>
      <c r="D122" s="2">
        <v>1227185</v>
      </c>
      <c r="E122" s="2">
        <f>historical_actuals3[[#This Row],[net_sales]]-historical_actuals3[[#This Row],[cogs]]</f>
        <v>366730</v>
      </c>
      <c r="F122" s="3">
        <f>IFERROR(historical_actuals3[[#This Row],[gross_profit]]/historical_actuals3[[#This Row],[net_sales]],0)</f>
        <v>0.23008127785986079</v>
      </c>
      <c r="G122" s="2">
        <v>65509.01</v>
      </c>
      <c r="H122" s="2">
        <v>132287.71</v>
      </c>
      <c r="I122" s="2">
        <f>historical_actuals3[[#This Row],[gross_profit]]-historical_actuals3[[#This Row],[labour_cost]]-historical_actuals3[[#This Row],[operating_expenses]]</f>
        <v>168933.28</v>
      </c>
      <c r="J122" s="3">
        <f>IFERROR(historical_actuals3[[#This Row],[operating_profit]]/historical_actuals3[[#This Row],[net_sales]],0)</f>
        <v>0.10598637944934328</v>
      </c>
    </row>
    <row r="123" spans="1:10" x14ac:dyDescent="0.3">
      <c r="A123" t="s">
        <v>35</v>
      </c>
      <c r="B123" t="s">
        <v>12</v>
      </c>
      <c r="C123" s="2">
        <v>1623915</v>
      </c>
      <c r="D123" s="2">
        <v>1260330</v>
      </c>
      <c r="E123" s="2">
        <f>historical_actuals3[[#This Row],[net_sales]]-historical_actuals3[[#This Row],[cogs]]</f>
        <v>363585</v>
      </c>
      <c r="F123" s="3">
        <f>IFERROR(historical_actuals3[[#This Row],[gross_profit]]/historical_actuals3[[#This Row],[net_sales]],0)</f>
        <v>0.22389410775810309</v>
      </c>
      <c r="G123" s="2">
        <v>68617.25</v>
      </c>
      <c r="H123" s="2">
        <v>130226.32</v>
      </c>
      <c r="I123" s="2">
        <f>historical_actuals3[[#This Row],[gross_profit]]-historical_actuals3[[#This Row],[labour_cost]]-historical_actuals3[[#This Row],[operating_expenses]]</f>
        <v>164741.43</v>
      </c>
      <c r="J123" s="3">
        <f>IFERROR(historical_actuals3[[#This Row],[operating_profit]]/historical_actuals3[[#This Row],[net_sales]],0)</f>
        <v>0.1014470769713932</v>
      </c>
    </row>
    <row r="124" spans="1:10" x14ac:dyDescent="0.3">
      <c r="A124" t="s">
        <v>35</v>
      </c>
      <c r="B124" t="s">
        <v>13</v>
      </c>
      <c r="C124" s="2">
        <v>1561658</v>
      </c>
      <c r="D124" s="2">
        <v>1222834</v>
      </c>
      <c r="E124" s="2">
        <f>historical_actuals3[[#This Row],[net_sales]]-historical_actuals3[[#This Row],[cogs]]</f>
        <v>338824</v>
      </c>
      <c r="F124" s="3">
        <f>IFERROR(historical_actuals3[[#This Row],[gross_profit]]/historical_actuals3[[#This Row],[net_sales]],0)</f>
        <v>0.21696427770997234</v>
      </c>
      <c r="G124" s="2">
        <v>66185.2</v>
      </c>
      <c r="H124" s="2">
        <v>135699.97</v>
      </c>
      <c r="I124" s="2">
        <f>historical_actuals3[[#This Row],[gross_profit]]-historical_actuals3[[#This Row],[labour_cost]]-historical_actuals3[[#This Row],[operating_expenses]]</f>
        <v>136938.82999999999</v>
      </c>
      <c r="J124" s="3">
        <f>IFERROR(historical_actuals3[[#This Row],[operating_profit]]/historical_actuals3[[#This Row],[net_sales]],0)</f>
        <v>8.7688104565788405E-2</v>
      </c>
    </row>
    <row r="125" spans="1:10" x14ac:dyDescent="0.3">
      <c r="A125" t="s">
        <v>35</v>
      </c>
      <c r="B125" t="s">
        <v>14</v>
      </c>
      <c r="C125" s="2">
        <v>1539345</v>
      </c>
      <c r="D125" s="2">
        <v>1192166</v>
      </c>
      <c r="E125" s="2">
        <f>historical_actuals3[[#This Row],[net_sales]]-historical_actuals3[[#This Row],[cogs]]</f>
        <v>347179</v>
      </c>
      <c r="F125" s="3">
        <f>IFERROR(historical_actuals3[[#This Row],[gross_profit]]/historical_actuals3[[#This Row],[net_sales]],0)</f>
        <v>0.22553683547223008</v>
      </c>
      <c r="G125" s="2">
        <v>66800.600000000006</v>
      </c>
      <c r="H125" s="2">
        <v>112225.9</v>
      </c>
      <c r="I125" s="2">
        <f>historical_actuals3[[#This Row],[gross_profit]]-historical_actuals3[[#This Row],[labour_cost]]-historical_actuals3[[#This Row],[operating_expenses]]</f>
        <v>168152.50000000003</v>
      </c>
      <c r="J125" s="3">
        <f>IFERROR(historical_actuals3[[#This Row],[operating_profit]]/historical_actuals3[[#This Row],[net_sales]],0)</f>
        <v>0.10923639599959725</v>
      </c>
    </row>
    <row r="126" spans="1:10" x14ac:dyDescent="0.3">
      <c r="A126" t="s">
        <v>35</v>
      </c>
      <c r="B126" t="s">
        <v>15</v>
      </c>
      <c r="C126" s="2">
        <v>1519957</v>
      </c>
      <c r="D126" s="2">
        <v>1207355</v>
      </c>
      <c r="E126" s="2">
        <f>historical_actuals3[[#This Row],[net_sales]]-historical_actuals3[[#This Row],[cogs]]</f>
        <v>312602</v>
      </c>
      <c r="F126" s="3">
        <f>IFERROR(historical_actuals3[[#This Row],[gross_profit]]/historical_actuals3[[#This Row],[net_sales]],0)</f>
        <v>0.20566502868173245</v>
      </c>
      <c r="G126" s="2">
        <v>67916.23</v>
      </c>
      <c r="H126" s="2">
        <v>117709.28</v>
      </c>
      <c r="I126" s="2">
        <f>historical_actuals3[[#This Row],[gross_profit]]-historical_actuals3[[#This Row],[labour_cost]]-historical_actuals3[[#This Row],[operating_expenses]]</f>
        <v>126976.49000000002</v>
      </c>
      <c r="J126" s="3">
        <f>IFERROR(historical_actuals3[[#This Row],[operating_profit]]/historical_actuals3[[#This Row],[net_sales]],0)</f>
        <v>8.3539527762956464E-2</v>
      </c>
    </row>
    <row r="127" spans="1:10" x14ac:dyDescent="0.3">
      <c r="A127" t="s">
        <v>35</v>
      </c>
      <c r="B127" t="s">
        <v>16</v>
      </c>
      <c r="C127" s="2">
        <v>1601915</v>
      </c>
      <c r="D127" s="2">
        <v>1245895</v>
      </c>
      <c r="E127" s="2">
        <f>historical_actuals3[[#This Row],[net_sales]]-historical_actuals3[[#This Row],[cogs]]</f>
        <v>356020</v>
      </c>
      <c r="F127" s="3">
        <f>IFERROR(historical_actuals3[[#This Row],[gross_profit]]/historical_actuals3[[#This Row],[net_sales]],0)</f>
        <v>0.22224649872184229</v>
      </c>
      <c r="G127" s="2">
        <v>68967.23</v>
      </c>
      <c r="H127" s="2">
        <v>122586.11</v>
      </c>
      <c r="I127" s="2">
        <f>historical_actuals3[[#This Row],[gross_profit]]-historical_actuals3[[#This Row],[labour_cost]]-historical_actuals3[[#This Row],[operating_expenses]]</f>
        <v>164466.66000000003</v>
      </c>
      <c r="J127" s="3">
        <f>IFERROR(historical_actuals3[[#This Row],[operating_profit]]/historical_actuals3[[#This Row],[net_sales]],0)</f>
        <v>0.10266878080297646</v>
      </c>
    </row>
    <row r="128" spans="1:10" x14ac:dyDescent="0.3">
      <c r="A128" t="s">
        <v>35</v>
      </c>
      <c r="B128" t="s">
        <v>17</v>
      </c>
      <c r="C128" s="2">
        <v>1494161</v>
      </c>
      <c r="D128" s="2">
        <v>1174317</v>
      </c>
      <c r="E128" s="2">
        <f>historical_actuals3[[#This Row],[net_sales]]-historical_actuals3[[#This Row],[cogs]]</f>
        <v>319844</v>
      </c>
      <c r="F128" s="3">
        <f>IFERROR(historical_actuals3[[#This Row],[gross_profit]]/historical_actuals3[[#This Row],[net_sales]],0)</f>
        <v>0.21406260771094948</v>
      </c>
      <c r="G128" s="2">
        <v>69322.880000000005</v>
      </c>
      <c r="H128" s="2">
        <v>111990.46</v>
      </c>
      <c r="I128" s="2">
        <f>historical_actuals3[[#This Row],[gross_profit]]-historical_actuals3[[#This Row],[labour_cost]]-historical_actuals3[[#This Row],[operating_expenses]]</f>
        <v>138530.65999999997</v>
      </c>
      <c r="J128" s="3">
        <f>IFERROR(historical_actuals3[[#This Row],[operating_profit]]/historical_actuals3[[#This Row],[net_sales]],0)</f>
        <v>9.2714680680328274E-2</v>
      </c>
    </row>
    <row r="129" spans="1:10" x14ac:dyDescent="0.3">
      <c r="A129" t="s">
        <v>35</v>
      </c>
      <c r="B129" t="s">
        <v>18</v>
      </c>
      <c r="C129" s="2">
        <v>1403769</v>
      </c>
      <c r="D129" s="2">
        <v>1082913</v>
      </c>
      <c r="E129" s="2">
        <f>historical_actuals3[[#This Row],[net_sales]]-historical_actuals3[[#This Row],[cogs]]</f>
        <v>320856</v>
      </c>
      <c r="F129" s="3">
        <f>IFERROR(historical_actuals3[[#This Row],[gross_profit]]/historical_actuals3[[#This Row],[net_sales]],0)</f>
        <v>0.22856752072456366</v>
      </c>
      <c r="G129" s="2">
        <v>67405.850000000006</v>
      </c>
      <c r="H129" s="2">
        <v>115018.43</v>
      </c>
      <c r="I129" s="2">
        <f>historical_actuals3[[#This Row],[gross_profit]]-historical_actuals3[[#This Row],[labour_cost]]-historical_actuals3[[#This Row],[operating_expenses]]</f>
        <v>138431.72</v>
      </c>
      <c r="J129" s="3">
        <f>IFERROR(historical_actuals3[[#This Row],[operating_profit]]/historical_actuals3[[#This Row],[net_sales]],0)</f>
        <v>9.8614316173102554E-2</v>
      </c>
    </row>
    <row r="130" spans="1:10" x14ac:dyDescent="0.3">
      <c r="A130" t="s">
        <v>35</v>
      </c>
      <c r="B130" t="s">
        <v>19</v>
      </c>
      <c r="C130" s="2">
        <v>1512649</v>
      </c>
      <c r="D130" s="2">
        <v>1171853</v>
      </c>
      <c r="E130" s="2">
        <f>historical_actuals3[[#This Row],[net_sales]]-historical_actuals3[[#This Row],[cogs]]</f>
        <v>340796</v>
      </c>
      <c r="F130" s="3">
        <f>IFERROR(historical_actuals3[[#This Row],[gross_profit]]/historical_actuals3[[#This Row],[net_sales]],0)</f>
        <v>0.22529747482727322</v>
      </c>
      <c r="G130" s="2">
        <v>68233.89</v>
      </c>
      <c r="H130" s="2">
        <v>110653</v>
      </c>
      <c r="I130" s="2">
        <f>historical_actuals3[[#This Row],[gross_profit]]-historical_actuals3[[#This Row],[labour_cost]]-historical_actuals3[[#This Row],[operating_expenses]]</f>
        <v>161909.10999999999</v>
      </c>
      <c r="J130" s="3">
        <f>IFERROR(historical_actuals3[[#This Row],[operating_profit]]/historical_actuals3[[#This Row],[net_sales]],0)</f>
        <v>0.10703680100274418</v>
      </c>
    </row>
    <row r="131" spans="1:10" x14ac:dyDescent="0.3">
      <c r="A131" t="s">
        <v>35</v>
      </c>
      <c r="B131" t="s">
        <v>20</v>
      </c>
      <c r="C131" s="2">
        <v>1729618</v>
      </c>
      <c r="D131" s="2">
        <v>1336940</v>
      </c>
      <c r="E131" s="2">
        <f>historical_actuals3[[#This Row],[net_sales]]-historical_actuals3[[#This Row],[cogs]]</f>
        <v>392678</v>
      </c>
      <c r="F131" s="3">
        <f>IFERROR(historical_actuals3[[#This Row],[gross_profit]]/historical_actuals3[[#This Row],[net_sales]],0)</f>
        <v>0.2270316335745812</v>
      </c>
      <c r="G131" s="2">
        <v>65782.89</v>
      </c>
      <c r="H131" s="2">
        <v>139704.48000000001</v>
      </c>
      <c r="I131" s="2">
        <f>historical_actuals3[[#This Row],[gross_profit]]-historical_actuals3[[#This Row],[labour_cost]]-historical_actuals3[[#This Row],[operating_expenses]]</f>
        <v>187190.62999999998</v>
      </c>
      <c r="J131" s="3">
        <f>IFERROR(historical_actuals3[[#This Row],[operating_profit]]/historical_actuals3[[#This Row],[net_sales]],0)</f>
        <v>0.1082265737289968</v>
      </c>
    </row>
    <row r="132" spans="1:10" x14ac:dyDescent="0.3">
      <c r="A132" t="s">
        <v>35</v>
      </c>
      <c r="B132" t="s">
        <v>21</v>
      </c>
      <c r="C132" s="2">
        <v>1353249</v>
      </c>
      <c r="D132" s="2">
        <v>1071621</v>
      </c>
      <c r="E132" s="2">
        <f>historical_actuals3[[#This Row],[net_sales]]-historical_actuals3[[#This Row],[cogs]]</f>
        <v>281628</v>
      </c>
      <c r="F132" s="3">
        <f>IFERROR(historical_actuals3[[#This Row],[gross_profit]]/historical_actuals3[[#This Row],[net_sales]],0)</f>
        <v>0.20811247597448806</v>
      </c>
      <c r="G132" s="2">
        <v>65582.490000000005</v>
      </c>
      <c r="H132" s="2">
        <v>137095.32999999999</v>
      </c>
      <c r="I132" s="2">
        <f>historical_actuals3[[#This Row],[gross_profit]]-historical_actuals3[[#This Row],[labour_cost]]-historical_actuals3[[#This Row],[operating_expenses]]</f>
        <v>78950.180000000022</v>
      </c>
      <c r="J132" s="3">
        <f>IFERROR(historical_actuals3[[#This Row],[operating_profit]]/historical_actuals3[[#This Row],[net_sales]],0)</f>
        <v>5.8341206976690929E-2</v>
      </c>
    </row>
    <row r="133" spans="1:10" x14ac:dyDescent="0.3">
      <c r="A133" t="s">
        <v>35</v>
      </c>
      <c r="B133" t="s">
        <v>22</v>
      </c>
      <c r="C133" s="2">
        <v>1481438</v>
      </c>
      <c r="D133" s="2">
        <v>1190758</v>
      </c>
      <c r="E133" s="2">
        <f>historical_actuals3[[#This Row],[net_sales]]-historical_actuals3[[#This Row],[cogs]]</f>
        <v>290680</v>
      </c>
      <c r="F133" s="3">
        <f>IFERROR(historical_actuals3[[#This Row],[gross_profit]]/historical_actuals3[[#This Row],[net_sales]],0)</f>
        <v>0.1962147589031738</v>
      </c>
      <c r="G133" s="2">
        <v>67055.850000000006</v>
      </c>
      <c r="H133" s="2">
        <v>118511.01</v>
      </c>
      <c r="I133" s="2">
        <f>historical_actuals3[[#This Row],[gross_profit]]-historical_actuals3[[#This Row],[labour_cost]]-historical_actuals3[[#This Row],[operating_expenses]]</f>
        <v>105113.14</v>
      </c>
      <c r="J133" s="3">
        <f>IFERROR(historical_actuals3[[#This Row],[operating_profit]]/historical_actuals3[[#This Row],[net_sales]],0)</f>
        <v>7.0953451983815724E-2</v>
      </c>
    </row>
    <row r="134" spans="1:10" x14ac:dyDescent="0.3">
      <c r="A134" t="s">
        <v>35</v>
      </c>
      <c r="B134" t="s">
        <v>23</v>
      </c>
      <c r="C134" s="2">
        <v>1495745</v>
      </c>
      <c r="D134" s="2">
        <v>1183070</v>
      </c>
      <c r="E134" s="2">
        <f>historical_actuals3[[#This Row],[net_sales]]-historical_actuals3[[#This Row],[cogs]]</f>
        <v>312675</v>
      </c>
      <c r="F134" s="3">
        <f>IFERROR(historical_actuals3[[#This Row],[gross_profit]]/historical_actuals3[[#This Row],[net_sales]],0)</f>
        <v>0.20904298526821083</v>
      </c>
      <c r="G134" s="2">
        <v>65751.899999999994</v>
      </c>
      <c r="H134" s="2">
        <v>130392.01</v>
      </c>
      <c r="I134" s="2">
        <f>historical_actuals3[[#This Row],[gross_profit]]-historical_actuals3[[#This Row],[labour_cost]]-historical_actuals3[[#This Row],[operating_expenses]]</f>
        <v>116531.09000000001</v>
      </c>
      <c r="J134" s="3">
        <f>IFERROR(historical_actuals3[[#This Row],[operating_profit]]/historical_actuals3[[#This Row],[net_sales]],0)</f>
        <v>7.7908393476160714E-2</v>
      </c>
    </row>
    <row r="135" spans="1:10" x14ac:dyDescent="0.3">
      <c r="A135" t="s">
        <v>35</v>
      </c>
      <c r="B135" t="s">
        <v>24</v>
      </c>
      <c r="C135" s="2">
        <v>1623528</v>
      </c>
      <c r="D135" s="2">
        <v>1256815</v>
      </c>
      <c r="E135" s="2">
        <f>historical_actuals3[[#This Row],[net_sales]]-historical_actuals3[[#This Row],[cogs]]</f>
        <v>366713</v>
      </c>
      <c r="F135" s="3">
        <f>IFERROR(historical_actuals3[[#This Row],[gross_profit]]/historical_actuals3[[#This Row],[net_sales]],0)</f>
        <v>0.22587414568766292</v>
      </c>
      <c r="G135" s="2">
        <v>68556.62</v>
      </c>
      <c r="H135" s="2">
        <v>130674.27</v>
      </c>
      <c r="I135" s="2">
        <f>historical_actuals3[[#This Row],[gross_profit]]-historical_actuals3[[#This Row],[labour_cost]]-historical_actuals3[[#This Row],[operating_expenses]]</f>
        <v>167482.10999999999</v>
      </c>
      <c r="J135" s="3">
        <f>IFERROR(historical_actuals3[[#This Row],[operating_profit]]/historical_actuals3[[#This Row],[net_sales]],0)</f>
        <v>0.10315936035596551</v>
      </c>
    </row>
    <row r="136" spans="1:10" x14ac:dyDescent="0.3">
      <c r="A136" t="s">
        <v>35</v>
      </c>
      <c r="B136" t="s">
        <v>25</v>
      </c>
      <c r="C136" s="2">
        <v>1530122</v>
      </c>
      <c r="D136" s="2">
        <v>1230346</v>
      </c>
      <c r="E136" s="2">
        <f>historical_actuals3[[#This Row],[net_sales]]-historical_actuals3[[#This Row],[cogs]]</f>
        <v>299776</v>
      </c>
      <c r="F136" s="3">
        <f>IFERROR(historical_actuals3[[#This Row],[gross_profit]]/historical_actuals3[[#This Row],[net_sales]],0)</f>
        <v>0.19591640405144164</v>
      </c>
      <c r="G136" s="2">
        <v>15822.74</v>
      </c>
      <c r="H136" s="2">
        <v>30442.13</v>
      </c>
      <c r="I136" s="2">
        <f>historical_actuals3[[#This Row],[gross_profit]]-historical_actuals3[[#This Row],[labour_cost]]-historical_actuals3[[#This Row],[operating_expenses]]</f>
        <v>253511.13</v>
      </c>
      <c r="J136" s="3">
        <f>IFERROR(historical_actuals3[[#This Row],[operating_profit]]/historical_actuals3[[#This Row],[net_sales]],0)</f>
        <v>0.16568033790769626</v>
      </c>
    </row>
    <row r="137" spans="1:10" x14ac:dyDescent="0.3">
      <c r="A137" t="s">
        <v>35</v>
      </c>
      <c r="B137" t="s">
        <v>26</v>
      </c>
      <c r="C137" s="2">
        <v>1682404</v>
      </c>
      <c r="D137" s="2">
        <v>1305863</v>
      </c>
      <c r="E137" s="2">
        <f>historical_actuals3[[#This Row],[net_sales]]-historical_actuals3[[#This Row],[cogs]]</f>
        <v>376541</v>
      </c>
      <c r="F137" s="3">
        <f>IFERROR(historical_actuals3[[#This Row],[gross_profit]]/historical_actuals3[[#This Row],[net_sales]],0)</f>
        <v>0.22381128432885325</v>
      </c>
      <c r="G137" s="2">
        <v>16340.64</v>
      </c>
      <c r="H137" s="2">
        <v>26356.240000000002</v>
      </c>
      <c r="I137" s="2">
        <f>historical_actuals3[[#This Row],[gross_profit]]-historical_actuals3[[#This Row],[labour_cost]]-historical_actuals3[[#This Row],[operating_expenses]]</f>
        <v>333844.12</v>
      </c>
      <c r="J137" s="3">
        <f>IFERROR(historical_actuals3[[#This Row],[operating_profit]]/historical_actuals3[[#This Row],[net_sales]],0)</f>
        <v>0.19843279022161145</v>
      </c>
    </row>
    <row r="138" spans="1:10" x14ac:dyDescent="0.3">
      <c r="A138" t="s">
        <v>35</v>
      </c>
      <c r="B138" t="s">
        <v>27</v>
      </c>
      <c r="C138" s="2">
        <v>1607492</v>
      </c>
      <c r="D138" s="2">
        <v>1269621</v>
      </c>
      <c r="E138" s="2">
        <f>historical_actuals3[[#This Row],[net_sales]]-historical_actuals3[[#This Row],[cogs]]</f>
        <v>337871</v>
      </c>
      <c r="F138" s="3">
        <f>IFERROR(historical_actuals3[[#This Row],[gross_profit]]/historical_actuals3[[#This Row],[net_sales]],0)</f>
        <v>0.21018518288115898</v>
      </c>
      <c r="G138" s="2">
        <v>15727.15</v>
      </c>
      <c r="H138" s="2">
        <v>29538.09</v>
      </c>
      <c r="I138" s="2">
        <f>historical_actuals3[[#This Row],[gross_profit]]-historical_actuals3[[#This Row],[labour_cost]]-historical_actuals3[[#This Row],[operating_expenses]]</f>
        <v>292605.75999999995</v>
      </c>
      <c r="J138" s="3">
        <f>IFERROR(historical_actuals3[[#This Row],[operating_profit]]/historical_actuals3[[#This Row],[net_sales]],0)</f>
        <v>0.18202626202805361</v>
      </c>
    </row>
    <row r="139" spans="1:10" x14ac:dyDescent="0.3">
      <c r="A139" t="s">
        <v>35</v>
      </c>
      <c r="B139" t="s">
        <v>28</v>
      </c>
      <c r="C139" s="2">
        <v>1459175</v>
      </c>
      <c r="D139" s="2">
        <v>1159675</v>
      </c>
      <c r="E139" s="2">
        <f>historical_actuals3[[#This Row],[net_sales]]-historical_actuals3[[#This Row],[cogs]]</f>
        <v>299500</v>
      </c>
      <c r="F139" s="3">
        <f>IFERROR(historical_actuals3[[#This Row],[gross_profit]]/historical_actuals3[[#This Row],[net_sales]],0)</f>
        <v>0.20525296828687442</v>
      </c>
      <c r="G139" s="2">
        <v>15818.22</v>
      </c>
      <c r="H139" s="2">
        <v>25772.74</v>
      </c>
      <c r="I139" s="2">
        <f>historical_actuals3[[#This Row],[gross_profit]]-historical_actuals3[[#This Row],[labour_cost]]-historical_actuals3[[#This Row],[operating_expenses]]</f>
        <v>257909.04000000004</v>
      </c>
      <c r="J139" s="3">
        <f>IFERROR(historical_actuals3[[#This Row],[operating_profit]]/historical_actuals3[[#This Row],[net_sales]],0)</f>
        <v>0.17674990319872533</v>
      </c>
    </row>
    <row r="140" spans="1:10" x14ac:dyDescent="0.3">
      <c r="A140" t="s">
        <v>35</v>
      </c>
      <c r="B140" t="s">
        <v>31</v>
      </c>
      <c r="C140" s="2">
        <v>1858269</v>
      </c>
      <c r="D140" s="2">
        <v>1484662</v>
      </c>
      <c r="E140" s="2">
        <f>historical_actuals3[[#This Row],[net_sales]]-historical_actuals3[[#This Row],[cogs]]</f>
        <v>373607</v>
      </c>
      <c r="F140" s="3">
        <f>IFERROR(historical_actuals3[[#This Row],[gross_profit]]/historical_actuals3[[#This Row],[net_sales]],0)</f>
        <v>0.20105108571471622</v>
      </c>
      <c r="G140" s="2">
        <v>15137.87</v>
      </c>
      <c r="H140" s="2">
        <v>26546.76</v>
      </c>
      <c r="I140" s="2">
        <f>historical_actuals3[[#This Row],[gross_profit]]-historical_actuals3[[#This Row],[labour_cost]]-historical_actuals3[[#This Row],[operating_expenses]]</f>
        <v>331922.37</v>
      </c>
      <c r="J140" s="3">
        <f>IFERROR(historical_actuals3[[#This Row],[operating_profit]]/historical_actuals3[[#This Row],[net_sales]],0)</f>
        <v>0.17861911811476164</v>
      </c>
    </row>
    <row r="141" spans="1:10" x14ac:dyDescent="0.3">
      <c r="A141" t="s">
        <v>35</v>
      </c>
      <c r="B141" t="s">
        <v>32</v>
      </c>
      <c r="C141" s="2">
        <v>1799817</v>
      </c>
      <c r="D141" s="2">
        <v>1451998</v>
      </c>
      <c r="E141" s="2">
        <f>historical_actuals3[[#This Row],[net_sales]]-historical_actuals3[[#This Row],[cogs]]</f>
        <v>347819</v>
      </c>
      <c r="F141" s="3">
        <f>IFERROR(historical_actuals3[[#This Row],[gross_profit]]/historical_actuals3[[#This Row],[net_sales]],0)</f>
        <v>0.19325242510766372</v>
      </c>
      <c r="G141" s="2">
        <v>16012.92</v>
      </c>
      <c r="H141" s="2">
        <v>25514.45</v>
      </c>
      <c r="I141" s="2">
        <f>historical_actuals3[[#This Row],[gross_profit]]-historical_actuals3[[#This Row],[labour_cost]]-historical_actuals3[[#This Row],[operating_expenses]]</f>
        <v>306291.63</v>
      </c>
      <c r="J141" s="3">
        <f>IFERROR(historical_actuals3[[#This Row],[operating_profit]]/historical_actuals3[[#This Row],[net_sales]],0)</f>
        <v>0.1701793182306868</v>
      </c>
    </row>
    <row r="142" spans="1:10" x14ac:dyDescent="0.3">
      <c r="A142" t="s">
        <v>36</v>
      </c>
      <c r="B142" t="s">
        <v>7</v>
      </c>
      <c r="C142" s="2">
        <v>1685952</v>
      </c>
      <c r="D142" s="2">
        <v>1279116</v>
      </c>
      <c r="E142" s="2">
        <f>historical_actuals3[[#This Row],[net_sales]]-historical_actuals3[[#This Row],[cogs]]</f>
        <v>406836</v>
      </c>
      <c r="F142" s="3">
        <f>IFERROR(historical_actuals3[[#This Row],[gross_profit]]/historical_actuals3[[#This Row],[net_sales]],0)</f>
        <v>0.24130936112060131</v>
      </c>
      <c r="G142" s="2">
        <v>67254.22</v>
      </c>
      <c r="H142" s="2">
        <v>122557.32</v>
      </c>
      <c r="I142" s="2">
        <f>historical_actuals3[[#This Row],[gross_profit]]-historical_actuals3[[#This Row],[labour_cost]]-historical_actuals3[[#This Row],[operating_expenses]]</f>
        <v>217024.46000000002</v>
      </c>
      <c r="J142" s="3">
        <f>IFERROR(historical_actuals3[[#This Row],[operating_profit]]/historical_actuals3[[#This Row],[net_sales]],0)</f>
        <v>0.128725171297878</v>
      </c>
    </row>
    <row r="143" spans="1:10" x14ac:dyDescent="0.3">
      <c r="A143" t="s">
        <v>36</v>
      </c>
      <c r="B143" t="s">
        <v>8</v>
      </c>
      <c r="C143" s="2">
        <v>1565713</v>
      </c>
      <c r="D143" s="2">
        <v>1238936</v>
      </c>
      <c r="E143" s="2">
        <f>historical_actuals3[[#This Row],[net_sales]]-historical_actuals3[[#This Row],[cogs]]</f>
        <v>326777</v>
      </c>
      <c r="F143" s="3">
        <f>IFERROR(historical_actuals3[[#This Row],[gross_profit]]/historical_actuals3[[#This Row],[net_sales]],0)</f>
        <v>0.20870810934060074</v>
      </c>
      <c r="G143" s="2">
        <v>69098.7</v>
      </c>
      <c r="H143" s="2">
        <v>138268.9</v>
      </c>
      <c r="I143" s="2">
        <f>historical_actuals3[[#This Row],[gross_profit]]-historical_actuals3[[#This Row],[labour_cost]]-historical_actuals3[[#This Row],[operating_expenses]]</f>
        <v>119409.4</v>
      </c>
      <c r="J143" s="3">
        <f>IFERROR(historical_actuals3[[#This Row],[operating_profit]]/historical_actuals3[[#This Row],[net_sales]],0)</f>
        <v>7.6265190363751206E-2</v>
      </c>
    </row>
    <row r="144" spans="1:10" x14ac:dyDescent="0.3">
      <c r="A144" t="s">
        <v>36</v>
      </c>
      <c r="B144" t="s">
        <v>9</v>
      </c>
      <c r="C144" s="2">
        <v>1527725</v>
      </c>
      <c r="D144" s="2">
        <v>1214785</v>
      </c>
      <c r="E144" s="2">
        <f>historical_actuals3[[#This Row],[net_sales]]-historical_actuals3[[#This Row],[cogs]]</f>
        <v>312940</v>
      </c>
      <c r="F144" s="3">
        <f>IFERROR(historical_actuals3[[#This Row],[gross_profit]]/historical_actuals3[[#This Row],[net_sales]],0)</f>
        <v>0.20484053085470225</v>
      </c>
      <c r="G144" s="2">
        <v>70480.77</v>
      </c>
      <c r="H144" s="2">
        <v>111364.32</v>
      </c>
      <c r="I144" s="2">
        <f>historical_actuals3[[#This Row],[gross_profit]]-historical_actuals3[[#This Row],[labour_cost]]-historical_actuals3[[#This Row],[operating_expenses]]</f>
        <v>131094.90999999997</v>
      </c>
      <c r="J144" s="3">
        <f>IFERROR(historical_actuals3[[#This Row],[operating_profit]]/historical_actuals3[[#This Row],[net_sales]],0)</f>
        <v>8.5810541818717362E-2</v>
      </c>
    </row>
    <row r="145" spans="1:10" x14ac:dyDescent="0.3">
      <c r="A145" t="s">
        <v>36</v>
      </c>
      <c r="B145" t="s">
        <v>10</v>
      </c>
      <c r="C145" s="2">
        <v>1820591</v>
      </c>
      <c r="D145" s="2">
        <v>1414226</v>
      </c>
      <c r="E145" s="2">
        <f>historical_actuals3[[#This Row],[net_sales]]-historical_actuals3[[#This Row],[cogs]]</f>
        <v>406365</v>
      </c>
      <c r="F145" s="3">
        <f>IFERROR(historical_actuals3[[#This Row],[gross_profit]]/historical_actuals3[[#This Row],[net_sales]],0)</f>
        <v>0.22320499222505219</v>
      </c>
      <c r="G145" s="2">
        <v>69058.16</v>
      </c>
      <c r="H145" s="2">
        <v>123508</v>
      </c>
      <c r="I145" s="2">
        <f>historical_actuals3[[#This Row],[gross_profit]]-historical_actuals3[[#This Row],[labour_cost]]-historical_actuals3[[#This Row],[operating_expenses]]</f>
        <v>213798.83999999997</v>
      </c>
      <c r="J145" s="3">
        <f>IFERROR(historical_actuals3[[#This Row],[operating_profit]]/historical_actuals3[[#This Row],[net_sales]],0)</f>
        <v>0.11743375640108072</v>
      </c>
    </row>
    <row r="146" spans="1:10" x14ac:dyDescent="0.3">
      <c r="A146" t="s">
        <v>36</v>
      </c>
      <c r="B146" t="s">
        <v>11</v>
      </c>
      <c r="C146" s="2">
        <v>1714903</v>
      </c>
      <c r="D146" s="2">
        <v>1342604</v>
      </c>
      <c r="E146" s="2">
        <f>historical_actuals3[[#This Row],[net_sales]]-historical_actuals3[[#This Row],[cogs]]</f>
        <v>372299</v>
      </c>
      <c r="F146" s="3">
        <f>IFERROR(historical_actuals3[[#This Row],[gross_profit]]/historical_actuals3[[#This Row],[net_sales]],0)</f>
        <v>0.2170962439274991</v>
      </c>
      <c r="G146" s="2">
        <v>69485.740000000005</v>
      </c>
      <c r="H146" s="2">
        <v>117445.1</v>
      </c>
      <c r="I146" s="2">
        <f>historical_actuals3[[#This Row],[gross_profit]]-historical_actuals3[[#This Row],[labour_cost]]-historical_actuals3[[#This Row],[operating_expenses]]</f>
        <v>185368.16</v>
      </c>
      <c r="J146" s="3">
        <f>IFERROR(historical_actuals3[[#This Row],[operating_profit]]/historical_actuals3[[#This Row],[net_sales]],0)</f>
        <v>0.10809250435738932</v>
      </c>
    </row>
    <row r="147" spans="1:10" x14ac:dyDescent="0.3">
      <c r="A147" t="s">
        <v>36</v>
      </c>
      <c r="B147" t="s">
        <v>12</v>
      </c>
      <c r="C147" s="2">
        <v>1654049</v>
      </c>
      <c r="D147" s="2">
        <v>1322901</v>
      </c>
      <c r="E147" s="2">
        <f>historical_actuals3[[#This Row],[net_sales]]-historical_actuals3[[#This Row],[cogs]]</f>
        <v>331148</v>
      </c>
      <c r="F147" s="3">
        <f>IFERROR(historical_actuals3[[#This Row],[gross_profit]]/historical_actuals3[[#This Row],[net_sales]],0)</f>
        <v>0.20020446794502461</v>
      </c>
      <c r="G147" s="2">
        <v>68176.97</v>
      </c>
      <c r="H147" s="2">
        <v>123814.13</v>
      </c>
      <c r="I147" s="2">
        <f>historical_actuals3[[#This Row],[gross_profit]]-historical_actuals3[[#This Row],[labour_cost]]-historical_actuals3[[#This Row],[operating_expenses]]</f>
        <v>139156.90000000002</v>
      </c>
      <c r="J147" s="3">
        <f>IFERROR(historical_actuals3[[#This Row],[operating_profit]]/historical_actuals3[[#This Row],[net_sales]],0)</f>
        <v>8.4131062622691363E-2</v>
      </c>
    </row>
    <row r="148" spans="1:10" x14ac:dyDescent="0.3">
      <c r="A148" t="s">
        <v>36</v>
      </c>
      <c r="B148" t="s">
        <v>13</v>
      </c>
      <c r="C148" s="2">
        <v>1674017</v>
      </c>
      <c r="D148" s="2">
        <v>1303307</v>
      </c>
      <c r="E148" s="2">
        <f>historical_actuals3[[#This Row],[net_sales]]-historical_actuals3[[#This Row],[cogs]]</f>
        <v>370710</v>
      </c>
      <c r="F148" s="3">
        <f>IFERROR(historical_actuals3[[#This Row],[gross_profit]]/historical_actuals3[[#This Row],[net_sales]],0)</f>
        <v>0.22144936401482182</v>
      </c>
      <c r="G148" s="2">
        <v>69104.490000000005</v>
      </c>
      <c r="H148" s="2">
        <v>127584.52</v>
      </c>
      <c r="I148" s="2">
        <f>historical_actuals3[[#This Row],[gross_profit]]-historical_actuals3[[#This Row],[labour_cost]]-historical_actuals3[[#This Row],[operating_expenses]]</f>
        <v>174020.99</v>
      </c>
      <c r="J148" s="3">
        <f>IFERROR(historical_actuals3[[#This Row],[operating_profit]]/historical_actuals3[[#This Row],[net_sales]],0)</f>
        <v>0.10395413547174251</v>
      </c>
    </row>
    <row r="149" spans="1:10" x14ac:dyDescent="0.3">
      <c r="A149" t="s">
        <v>36</v>
      </c>
      <c r="B149" t="s">
        <v>14</v>
      </c>
      <c r="C149" s="2">
        <v>1668523</v>
      </c>
      <c r="D149" s="2">
        <v>1312601</v>
      </c>
      <c r="E149" s="2">
        <f>historical_actuals3[[#This Row],[net_sales]]-historical_actuals3[[#This Row],[cogs]]</f>
        <v>355922</v>
      </c>
      <c r="F149" s="3">
        <f>IFERROR(historical_actuals3[[#This Row],[gross_profit]]/historical_actuals3[[#This Row],[net_sales]],0)</f>
        <v>0.21331560907461269</v>
      </c>
      <c r="G149" s="2">
        <v>68332.820000000007</v>
      </c>
      <c r="H149" s="2">
        <v>134085.13</v>
      </c>
      <c r="I149" s="2">
        <f>historical_actuals3[[#This Row],[gross_profit]]-historical_actuals3[[#This Row],[labour_cost]]-historical_actuals3[[#This Row],[operating_expenses]]</f>
        <v>153504.04999999999</v>
      </c>
      <c r="J149" s="3">
        <f>IFERROR(historical_actuals3[[#This Row],[operating_profit]]/historical_actuals3[[#This Row],[net_sales]],0)</f>
        <v>9.1999960444057408E-2</v>
      </c>
    </row>
    <row r="150" spans="1:10" x14ac:dyDescent="0.3">
      <c r="A150" t="s">
        <v>36</v>
      </c>
      <c r="B150" t="s">
        <v>15</v>
      </c>
      <c r="C150" s="2">
        <v>1550025</v>
      </c>
      <c r="D150" s="2">
        <v>1195909</v>
      </c>
      <c r="E150" s="2">
        <f>historical_actuals3[[#This Row],[net_sales]]-historical_actuals3[[#This Row],[cogs]]</f>
        <v>354116</v>
      </c>
      <c r="F150" s="3">
        <f>IFERROR(historical_actuals3[[#This Row],[gross_profit]]/historical_actuals3[[#This Row],[net_sales]],0)</f>
        <v>0.22845825067337625</v>
      </c>
      <c r="G150" s="2">
        <v>67646.789999999994</v>
      </c>
      <c r="H150" s="2">
        <v>138290.6</v>
      </c>
      <c r="I150" s="2">
        <f>historical_actuals3[[#This Row],[gross_profit]]-historical_actuals3[[#This Row],[labour_cost]]-historical_actuals3[[#This Row],[operating_expenses]]</f>
        <v>148178.61000000002</v>
      </c>
      <c r="J150" s="3">
        <f>IFERROR(historical_actuals3[[#This Row],[operating_profit]]/historical_actuals3[[#This Row],[net_sales]],0)</f>
        <v>9.5597561329655981E-2</v>
      </c>
    </row>
    <row r="151" spans="1:10" x14ac:dyDescent="0.3">
      <c r="A151" t="s">
        <v>36</v>
      </c>
      <c r="B151" t="s">
        <v>16</v>
      </c>
      <c r="C151" s="2">
        <v>1516648</v>
      </c>
      <c r="D151" s="2">
        <v>1173919</v>
      </c>
      <c r="E151" s="2">
        <f>historical_actuals3[[#This Row],[net_sales]]-historical_actuals3[[#This Row],[cogs]]</f>
        <v>342729</v>
      </c>
      <c r="F151" s="3">
        <f>IFERROR(historical_actuals3[[#This Row],[gross_profit]]/historical_actuals3[[#This Row],[net_sales]],0)</f>
        <v>0.22597794610219379</v>
      </c>
      <c r="G151" s="2">
        <v>68639.41</v>
      </c>
      <c r="H151" s="2">
        <v>131642.06</v>
      </c>
      <c r="I151" s="2">
        <f>historical_actuals3[[#This Row],[gross_profit]]-historical_actuals3[[#This Row],[labour_cost]]-historical_actuals3[[#This Row],[operating_expenses]]</f>
        <v>142447.52999999997</v>
      </c>
      <c r="J151" s="3">
        <f>IFERROR(historical_actuals3[[#This Row],[operating_profit]]/historical_actuals3[[#This Row],[net_sales]],0)</f>
        <v>9.3922604322163067E-2</v>
      </c>
    </row>
    <row r="152" spans="1:10" x14ac:dyDescent="0.3">
      <c r="A152" t="s">
        <v>36</v>
      </c>
      <c r="B152" t="s">
        <v>17</v>
      </c>
      <c r="C152" s="2">
        <v>1481107</v>
      </c>
      <c r="D152" s="2">
        <v>1156038</v>
      </c>
      <c r="E152" s="2">
        <f>historical_actuals3[[#This Row],[net_sales]]-historical_actuals3[[#This Row],[cogs]]</f>
        <v>325069</v>
      </c>
      <c r="F152" s="3">
        <f>IFERROR(historical_actuals3[[#This Row],[gross_profit]]/historical_actuals3[[#This Row],[net_sales]],0)</f>
        <v>0.21947705331215098</v>
      </c>
      <c r="G152" s="2">
        <v>70090.92</v>
      </c>
      <c r="H152" s="2">
        <v>118786.46</v>
      </c>
      <c r="I152" s="2">
        <f>historical_actuals3[[#This Row],[gross_profit]]-historical_actuals3[[#This Row],[labour_cost]]-historical_actuals3[[#This Row],[operating_expenses]]</f>
        <v>136191.62</v>
      </c>
      <c r="J152" s="3">
        <f>IFERROR(historical_actuals3[[#This Row],[operating_profit]]/historical_actuals3[[#This Row],[net_sales]],0)</f>
        <v>9.1952586815132187E-2</v>
      </c>
    </row>
    <row r="153" spans="1:10" x14ac:dyDescent="0.3">
      <c r="A153" t="s">
        <v>36</v>
      </c>
      <c r="B153" t="s">
        <v>18</v>
      </c>
      <c r="C153" s="2">
        <v>1763658</v>
      </c>
      <c r="D153" s="2">
        <v>1385548</v>
      </c>
      <c r="E153" s="2">
        <f>historical_actuals3[[#This Row],[net_sales]]-historical_actuals3[[#This Row],[cogs]]</f>
        <v>378110</v>
      </c>
      <c r="F153" s="3">
        <f>IFERROR(historical_actuals3[[#This Row],[gross_profit]]/historical_actuals3[[#This Row],[net_sales]],0)</f>
        <v>0.21438963790031854</v>
      </c>
      <c r="G153" s="2">
        <v>70356.570000000007</v>
      </c>
      <c r="H153" s="2">
        <v>129621.5</v>
      </c>
      <c r="I153" s="2">
        <f>historical_actuals3[[#This Row],[gross_profit]]-historical_actuals3[[#This Row],[labour_cost]]-historical_actuals3[[#This Row],[operating_expenses]]</f>
        <v>178131.93</v>
      </c>
      <c r="J153" s="3">
        <f>IFERROR(historical_actuals3[[#This Row],[operating_profit]]/historical_actuals3[[#This Row],[net_sales]],0)</f>
        <v>0.10100140163228925</v>
      </c>
    </row>
    <row r="154" spans="1:10" x14ac:dyDescent="0.3">
      <c r="A154" t="s">
        <v>36</v>
      </c>
      <c r="B154" t="s">
        <v>19</v>
      </c>
      <c r="C154" s="2">
        <v>1697818</v>
      </c>
      <c r="D154" s="2">
        <v>1338199</v>
      </c>
      <c r="E154" s="2">
        <f>historical_actuals3[[#This Row],[net_sales]]-historical_actuals3[[#This Row],[cogs]]</f>
        <v>359619</v>
      </c>
      <c r="F154" s="3">
        <f>IFERROR(historical_actuals3[[#This Row],[gross_profit]]/historical_actuals3[[#This Row],[net_sales]],0)</f>
        <v>0.21181245575202995</v>
      </c>
      <c r="G154" s="2">
        <v>70026.63</v>
      </c>
      <c r="H154" s="2">
        <v>120761.44</v>
      </c>
      <c r="I154" s="2">
        <f>historical_actuals3[[#This Row],[gross_profit]]-historical_actuals3[[#This Row],[labour_cost]]-historical_actuals3[[#This Row],[operating_expenses]]</f>
        <v>168830.93</v>
      </c>
      <c r="J154" s="3">
        <f>IFERROR(historical_actuals3[[#This Row],[operating_profit]]/historical_actuals3[[#This Row],[net_sales]],0)</f>
        <v>9.9439945859921372E-2</v>
      </c>
    </row>
    <row r="155" spans="1:10" x14ac:dyDescent="0.3">
      <c r="A155" t="s">
        <v>36</v>
      </c>
      <c r="B155" t="s">
        <v>20</v>
      </c>
      <c r="C155" s="2">
        <v>1574533</v>
      </c>
      <c r="D155" s="2">
        <v>1212821</v>
      </c>
      <c r="E155" s="2">
        <f>historical_actuals3[[#This Row],[net_sales]]-historical_actuals3[[#This Row],[cogs]]</f>
        <v>361712</v>
      </c>
      <c r="F155" s="3">
        <f>IFERROR(historical_actuals3[[#This Row],[gross_profit]]/historical_actuals3[[#This Row],[net_sales]],0)</f>
        <v>0.22972652843732078</v>
      </c>
      <c r="G155" s="2">
        <v>69675.11</v>
      </c>
      <c r="H155" s="2">
        <v>123713.93</v>
      </c>
      <c r="I155" s="2">
        <f>historical_actuals3[[#This Row],[gross_profit]]-historical_actuals3[[#This Row],[labour_cost]]-historical_actuals3[[#This Row],[operating_expenses]]</f>
        <v>168322.96000000002</v>
      </c>
      <c r="J155" s="3">
        <f>IFERROR(historical_actuals3[[#This Row],[operating_profit]]/historical_actuals3[[#This Row],[net_sales]],0)</f>
        <v>0.10690341834690033</v>
      </c>
    </row>
    <row r="156" spans="1:10" x14ac:dyDescent="0.3">
      <c r="A156" t="s">
        <v>36</v>
      </c>
      <c r="B156" t="s">
        <v>21</v>
      </c>
      <c r="C156" s="2">
        <v>1573892</v>
      </c>
      <c r="D156" s="2">
        <v>1265479</v>
      </c>
      <c r="E156" s="2">
        <f>historical_actuals3[[#This Row],[net_sales]]-historical_actuals3[[#This Row],[cogs]]</f>
        <v>308413</v>
      </c>
      <c r="F156" s="3">
        <f>IFERROR(historical_actuals3[[#This Row],[gross_profit]]/historical_actuals3[[#This Row],[net_sales]],0)</f>
        <v>0.19595563100898919</v>
      </c>
      <c r="G156" s="2">
        <v>68690.3</v>
      </c>
      <c r="H156" s="2">
        <v>139420.79999999999</v>
      </c>
      <c r="I156" s="2">
        <f>historical_actuals3[[#This Row],[gross_profit]]-historical_actuals3[[#This Row],[labour_cost]]-historical_actuals3[[#This Row],[operating_expenses]]</f>
        <v>100301.90000000002</v>
      </c>
      <c r="J156" s="3">
        <f>IFERROR(historical_actuals3[[#This Row],[operating_profit]]/historical_actuals3[[#This Row],[net_sales]],0)</f>
        <v>6.3728578580995413E-2</v>
      </c>
    </row>
    <row r="157" spans="1:10" x14ac:dyDescent="0.3">
      <c r="A157" t="s">
        <v>36</v>
      </c>
      <c r="B157" t="s">
        <v>22</v>
      </c>
      <c r="C157" s="2">
        <v>1580736</v>
      </c>
      <c r="D157" s="2">
        <v>1244542</v>
      </c>
      <c r="E157" s="2">
        <f>historical_actuals3[[#This Row],[net_sales]]-historical_actuals3[[#This Row],[cogs]]</f>
        <v>336194</v>
      </c>
      <c r="F157" s="3">
        <f>IFERROR(historical_actuals3[[#This Row],[gross_profit]]/historical_actuals3[[#This Row],[net_sales]],0)</f>
        <v>0.21268194056439532</v>
      </c>
      <c r="G157" s="2">
        <v>71417.19</v>
      </c>
      <c r="H157" s="2">
        <v>118450.28</v>
      </c>
      <c r="I157" s="2">
        <f>historical_actuals3[[#This Row],[gross_profit]]-historical_actuals3[[#This Row],[labour_cost]]-historical_actuals3[[#This Row],[operating_expenses]]</f>
        <v>146326.53</v>
      </c>
      <c r="J157" s="3">
        <f>IFERROR(historical_actuals3[[#This Row],[operating_profit]]/historical_actuals3[[#This Row],[net_sales]],0)</f>
        <v>9.2568607281671322E-2</v>
      </c>
    </row>
    <row r="158" spans="1:10" x14ac:dyDescent="0.3">
      <c r="A158" t="s">
        <v>36</v>
      </c>
      <c r="B158" t="s">
        <v>23</v>
      </c>
      <c r="C158" s="2">
        <v>1445951</v>
      </c>
      <c r="D158" s="2">
        <v>1163175</v>
      </c>
      <c r="E158" s="2">
        <f>historical_actuals3[[#This Row],[net_sales]]-historical_actuals3[[#This Row],[cogs]]</f>
        <v>282776</v>
      </c>
      <c r="F158" s="3">
        <f>IFERROR(historical_actuals3[[#This Row],[gross_profit]]/historical_actuals3[[#This Row],[net_sales]],0)</f>
        <v>0.1955640267201309</v>
      </c>
      <c r="G158" s="2">
        <v>70704.61</v>
      </c>
      <c r="H158" s="2">
        <v>114564.58</v>
      </c>
      <c r="I158" s="2">
        <f>historical_actuals3[[#This Row],[gross_profit]]-historical_actuals3[[#This Row],[labour_cost]]-historical_actuals3[[#This Row],[operating_expenses]]</f>
        <v>97506.810000000012</v>
      </c>
      <c r="J158" s="3">
        <f>IFERROR(historical_actuals3[[#This Row],[operating_profit]]/historical_actuals3[[#This Row],[net_sales]],0)</f>
        <v>6.7434380556464238E-2</v>
      </c>
    </row>
    <row r="159" spans="1:10" x14ac:dyDescent="0.3">
      <c r="A159" t="s">
        <v>36</v>
      </c>
      <c r="B159" t="s">
        <v>24</v>
      </c>
      <c r="C159" s="2">
        <v>1785526</v>
      </c>
      <c r="D159" s="2">
        <v>1386286</v>
      </c>
      <c r="E159" s="2">
        <f>historical_actuals3[[#This Row],[net_sales]]-historical_actuals3[[#This Row],[cogs]]</f>
        <v>399240</v>
      </c>
      <c r="F159" s="3">
        <f>IFERROR(historical_actuals3[[#This Row],[gross_profit]]/historical_actuals3[[#This Row],[net_sales]],0)</f>
        <v>0.22359797617060742</v>
      </c>
      <c r="G159" s="2">
        <v>67321.210000000006</v>
      </c>
      <c r="H159" s="2">
        <v>129854.53</v>
      </c>
      <c r="I159" s="2">
        <f>historical_actuals3[[#This Row],[gross_profit]]-historical_actuals3[[#This Row],[labour_cost]]-historical_actuals3[[#This Row],[operating_expenses]]</f>
        <v>202064.25999999998</v>
      </c>
      <c r="J159" s="3">
        <f>IFERROR(historical_actuals3[[#This Row],[operating_profit]]/historical_actuals3[[#This Row],[net_sales]],0)</f>
        <v>0.11316791802527658</v>
      </c>
    </row>
    <row r="160" spans="1:10" x14ac:dyDescent="0.3">
      <c r="A160" t="s">
        <v>36</v>
      </c>
      <c r="B160" t="s">
        <v>25</v>
      </c>
      <c r="C160" s="2">
        <v>1691006</v>
      </c>
      <c r="D160" s="2">
        <v>1329556</v>
      </c>
      <c r="E160" s="2">
        <f>historical_actuals3[[#This Row],[net_sales]]-historical_actuals3[[#This Row],[cogs]]</f>
        <v>361450</v>
      </c>
      <c r="F160" s="3">
        <f>IFERROR(historical_actuals3[[#This Row],[gross_profit]]/historical_actuals3[[#This Row],[net_sales]],0)</f>
        <v>0.21374850237077811</v>
      </c>
      <c r="G160" s="2">
        <v>16500.09</v>
      </c>
      <c r="H160" s="2">
        <v>26219.54</v>
      </c>
      <c r="I160" s="2">
        <f>historical_actuals3[[#This Row],[gross_profit]]-historical_actuals3[[#This Row],[labour_cost]]-historical_actuals3[[#This Row],[operating_expenses]]</f>
        <v>318730.37</v>
      </c>
      <c r="J160" s="3">
        <f>IFERROR(historical_actuals3[[#This Row],[operating_profit]]/historical_actuals3[[#This Row],[net_sales]],0)</f>
        <v>0.18848565291903163</v>
      </c>
    </row>
    <row r="161" spans="1:10" x14ac:dyDescent="0.3">
      <c r="A161" t="s">
        <v>36</v>
      </c>
      <c r="B161" t="s">
        <v>26</v>
      </c>
      <c r="C161" s="2">
        <v>1652222</v>
      </c>
      <c r="D161" s="2">
        <v>1304907</v>
      </c>
      <c r="E161" s="2">
        <f>historical_actuals3[[#This Row],[net_sales]]-historical_actuals3[[#This Row],[cogs]]</f>
        <v>347315</v>
      </c>
      <c r="F161" s="3">
        <f>IFERROR(historical_actuals3[[#This Row],[gross_profit]]/historical_actuals3[[#This Row],[net_sales]],0)</f>
        <v>0.21021085544194423</v>
      </c>
      <c r="G161" s="2">
        <v>16230.85</v>
      </c>
      <c r="H161" s="2">
        <v>27824.98</v>
      </c>
      <c r="I161" s="2">
        <f>historical_actuals3[[#This Row],[gross_profit]]-historical_actuals3[[#This Row],[labour_cost]]-historical_actuals3[[#This Row],[operating_expenses]]</f>
        <v>303259.17000000004</v>
      </c>
      <c r="J161" s="3">
        <f>IFERROR(historical_actuals3[[#This Row],[operating_profit]]/historical_actuals3[[#This Row],[net_sales]],0)</f>
        <v>0.18354626073251659</v>
      </c>
    </row>
    <row r="162" spans="1:10" x14ac:dyDescent="0.3">
      <c r="A162" t="s">
        <v>36</v>
      </c>
      <c r="B162" t="s">
        <v>27</v>
      </c>
      <c r="C162" s="2">
        <v>1767768</v>
      </c>
      <c r="D162" s="2">
        <v>1384808</v>
      </c>
      <c r="E162" s="2">
        <f>historical_actuals3[[#This Row],[net_sales]]-historical_actuals3[[#This Row],[cogs]]</f>
        <v>382960</v>
      </c>
      <c r="F162" s="3">
        <f>IFERROR(historical_actuals3[[#This Row],[gross_profit]]/historical_actuals3[[#This Row],[net_sales]],0)</f>
        <v>0.21663476202759638</v>
      </c>
      <c r="G162" s="2">
        <v>16305.71</v>
      </c>
      <c r="H162" s="2">
        <v>25099.61</v>
      </c>
      <c r="I162" s="2">
        <f>historical_actuals3[[#This Row],[gross_profit]]-historical_actuals3[[#This Row],[labour_cost]]-historical_actuals3[[#This Row],[operating_expenses]]</f>
        <v>341554.68</v>
      </c>
      <c r="J162" s="3">
        <f>IFERROR(historical_actuals3[[#This Row],[operating_profit]]/historical_actuals3[[#This Row],[net_sales]],0)</f>
        <v>0.193212389861113</v>
      </c>
    </row>
    <row r="163" spans="1:10" x14ac:dyDescent="0.3">
      <c r="A163" t="s">
        <v>36</v>
      </c>
      <c r="B163" t="s">
        <v>28</v>
      </c>
      <c r="C163" s="2">
        <v>1709807</v>
      </c>
      <c r="D163" s="2">
        <v>1294759</v>
      </c>
      <c r="E163" s="2">
        <f>historical_actuals3[[#This Row],[net_sales]]-historical_actuals3[[#This Row],[cogs]]</f>
        <v>415048</v>
      </c>
      <c r="F163" s="3">
        <f>IFERROR(historical_actuals3[[#This Row],[gross_profit]]/historical_actuals3[[#This Row],[net_sales]],0)</f>
        <v>0.24274552624945389</v>
      </c>
      <c r="G163" s="2">
        <v>16251.56</v>
      </c>
      <c r="H163" s="2">
        <v>31190.55</v>
      </c>
      <c r="I163" s="2">
        <f>historical_actuals3[[#This Row],[gross_profit]]-historical_actuals3[[#This Row],[labour_cost]]-historical_actuals3[[#This Row],[operating_expenses]]</f>
        <v>367605.89</v>
      </c>
      <c r="J163" s="3">
        <f>IFERROR(historical_actuals3[[#This Row],[operating_profit]]/historical_actuals3[[#This Row],[net_sales]],0)</f>
        <v>0.21499847058761604</v>
      </c>
    </row>
    <row r="164" spans="1:10" x14ac:dyDescent="0.3">
      <c r="A164" t="s">
        <v>36</v>
      </c>
      <c r="B164" t="s">
        <v>31</v>
      </c>
      <c r="C164" s="2">
        <v>1982714</v>
      </c>
      <c r="D164" s="2">
        <v>1542043</v>
      </c>
      <c r="E164" s="2">
        <f>historical_actuals3[[#This Row],[net_sales]]-historical_actuals3[[#This Row],[cogs]]</f>
        <v>440671</v>
      </c>
      <c r="F164" s="3">
        <f>IFERROR(historical_actuals3[[#This Row],[gross_profit]]/historical_actuals3[[#This Row],[net_sales]],0)</f>
        <v>0.2222564626063063</v>
      </c>
      <c r="G164" s="2">
        <v>16109.87</v>
      </c>
      <c r="H164" s="2">
        <v>30700.68</v>
      </c>
      <c r="I164" s="2">
        <f>historical_actuals3[[#This Row],[gross_profit]]-historical_actuals3[[#This Row],[labour_cost]]-historical_actuals3[[#This Row],[operating_expenses]]</f>
        <v>393860.45</v>
      </c>
      <c r="J164" s="3">
        <f>IFERROR(historical_actuals3[[#This Row],[operating_profit]]/historical_actuals3[[#This Row],[net_sales]],0)</f>
        <v>0.1986471321632873</v>
      </c>
    </row>
    <row r="165" spans="1:10" x14ac:dyDescent="0.3">
      <c r="A165" t="s">
        <v>36</v>
      </c>
      <c r="B165" t="s">
        <v>37</v>
      </c>
      <c r="C165" s="2">
        <v>2588744</v>
      </c>
      <c r="D165" s="2">
        <v>2023505</v>
      </c>
      <c r="E165" s="2">
        <f>historical_actuals3[[#This Row],[net_sales]]-historical_actuals3[[#This Row],[cogs]]</f>
        <v>565239</v>
      </c>
      <c r="F165" s="3">
        <f>IFERROR(historical_actuals3[[#This Row],[gross_profit]]/historical_actuals3[[#This Row],[net_sales]],0)</f>
        <v>0.21834488076070868</v>
      </c>
      <c r="G165" s="2">
        <v>12249.75</v>
      </c>
      <c r="H165" s="2">
        <v>28586.87</v>
      </c>
      <c r="I165" s="2">
        <f>historical_actuals3[[#This Row],[gross_profit]]-historical_actuals3[[#This Row],[labour_cost]]-historical_actuals3[[#This Row],[operating_expenses]]</f>
        <v>524402.38</v>
      </c>
      <c r="J165" s="3">
        <f>IFERROR(historical_actuals3[[#This Row],[operating_profit]]/historical_actuals3[[#This Row],[net_sales]],0)</f>
        <v>0.20257019620325534</v>
      </c>
    </row>
    <row r="166" spans="1:10" x14ac:dyDescent="0.3">
      <c r="A166" t="s">
        <v>36</v>
      </c>
      <c r="B166" t="s">
        <v>32</v>
      </c>
      <c r="C166" s="2">
        <v>1947320</v>
      </c>
      <c r="D166" s="2">
        <v>1533965</v>
      </c>
      <c r="E166" s="2">
        <f>historical_actuals3[[#This Row],[net_sales]]-historical_actuals3[[#This Row],[cogs]]</f>
        <v>413355</v>
      </c>
      <c r="F166" s="3">
        <f>IFERROR(historical_actuals3[[#This Row],[gross_profit]]/historical_actuals3[[#This Row],[net_sales]],0)</f>
        <v>0.21226865640983505</v>
      </c>
      <c r="G166" s="2">
        <v>16212.57</v>
      </c>
      <c r="H166" s="2">
        <v>28951.82</v>
      </c>
      <c r="I166" s="2">
        <f>historical_actuals3[[#This Row],[gross_profit]]-historical_actuals3[[#This Row],[labour_cost]]-historical_actuals3[[#This Row],[operating_expenses]]</f>
        <v>368190.61</v>
      </c>
      <c r="J166" s="3">
        <f>IFERROR(historical_actuals3[[#This Row],[operating_profit]]/historical_actuals3[[#This Row],[net_sales]],0)</f>
        <v>0.18907555512191113</v>
      </c>
    </row>
    <row r="167" spans="1:10" x14ac:dyDescent="0.3">
      <c r="A167" t="s">
        <v>38</v>
      </c>
      <c r="B167" t="s">
        <v>7</v>
      </c>
      <c r="C167" s="2">
        <v>1698109</v>
      </c>
      <c r="D167" s="2">
        <v>1310204</v>
      </c>
      <c r="E167" s="2">
        <f>historical_actuals3[[#This Row],[net_sales]]-historical_actuals3[[#This Row],[cogs]]</f>
        <v>387905</v>
      </c>
      <c r="F167" s="3">
        <f>IFERROR(historical_actuals3[[#This Row],[gross_profit]]/historical_actuals3[[#This Row],[net_sales]],0)</f>
        <v>0.22843351045192034</v>
      </c>
      <c r="G167" s="2">
        <v>69700.509999999995</v>
      </c>
      <c r="H167" s="2">
        <v>137257.57999999999</v>
      </c>
      <c r="I167" s="2">
        <f>historical_actuals3[[#This Row],[gross_profit]]-historical_actuals3[[#This Row],[labour_cost]]-historical_actuals3[[#This Row],[operating_expenses]]</f>
        <v>180946.91</v>
      </c>
      <c r="J167" s="3">
        <f>IFERROR(historical_actuals3[[#This Row],[operating_profit]]/historical_actuals3[[#This Row],[net_sales]],0)</f>
        <v>0.10655788880454671</v>
      </c>
    </row>
    <row r="168" spans="1:10" x14ac:dyDescent="0.3">
      <c r="A168" t="s">
        <v>38</v>
      </c>
      <c r="B168" t="s">
        <v>8</v>
      </c>
      <c r="C168" s="2">
        <v>1692817</v>
      </c>
      <c r="D168" s="2">
        <v>1303993</v>
      </c>
      <c r="E168" s="2">
        <f>historical_actuals3[[#This Row],[net_sales]]-historical_actuals3[[#This Row],[cogs]]</f>
        <v>388824</v>
      </c>
      <c r="F168" s="3">
        <f>IFERROR(historical_actuals3[[#This Row],[gross_profit]]/historical_actuals3[[#This Row],[net_sales]],0)</f>
        <v>0.22969050996061594</v>
      </c>
      <c r="G168" s="2">
        <v>70212.87</v>
      </c>
      <c r="H168" s="2">
        <v>135111.37</v>
      </c>
      <c r="I168" s="2">
        <f>historical_actuals3[[#This Row],[gross_profit]]-historical_actuals3[[#This Row],[labour_cost]]-historical_actuals3[[#This Row],[operating_expenses]]</f>
        <v>183499.76</v>
      </c>
      <c r="J168" s="3">
        <f>IFERROR(historical_actuals3[[#This Row],[operating_profit]]/historical_actuals3[[#This Row],[net_sales]],0)</f>
        <v>0.10839905317586013</v>
      </c>
    </row>
    <row r="169" spans="1:10" x14ac:dyDescent="0.3">
      <c r="A169" t="s">
        <v>38</v>
      </c>
      <c r="B169" t="s">
        <v>9</v>
      </c>
      <c r="C169" s="2">
        <v>1676981</v>
      </c>
      <c r="D169" s="2">
        <v>1330218</v>
      </c>
      <c r="E169" s="2">
        <f>historical_actuals3[[#This Row],[net_sales]]-historical_actuals3[[#This Row],[cogs]]</f>
        <v>346763</v>
      </c>
      <c r="F169" s="3">
        <f>IFERROR(historical_actuals3[[#This Row],[gross_profit]]/historical_actuals3[[#This Row],[net_sales]],0)</f>
        <v>0.20677813284706267</v>
      </c>
      <c r="G169" s="2">
        <v>69142.02</v>
      </c>
      <c r="H169" s="2">
        <v>110016.14</v>
      </c>
      <c r="I169" s="2">
        <f>historical_actuals3[[#This Row],[gross_profit]]-historical_actuals3[[#This Row],[labour_cost]]-historical_actuals3[[#This Row],[operating_expenses]]</f>
        <v>167604.83999999997</v>
      </c>
      <c r="J169" s="3">
        <f>IFERROR(historical_actuals3[[#This Row],[operating_profit]]/historical_actuals3[[#This Row],[net_sales]],0)</f>
        <v>9.9944388159436487E-2</v>
      </c>
    </row>
    <row r="170" spans="1:10" x14ac:dyDescent="0.3">
      <c r="A170" t="s">
        <v>38</v>
      </c>
      <c r="B170" t="s">
        <v>10</v>
      </c>
      <c r="C170" s="2">
        <v>1701796</v>
      </c>
      <c r="D170" s="2">
        <v>1323460</v>
      </c>
      <c r="E170" s="2">
        <f>historical_actuals3[[#This Row],[net_sales]]-historical_actuals3[[#This Row],[cogs]]</f>
        <v>378336</v>
      </c>
      <c r="F170" s="3">
        <f>IFERROR(historical_actuals3[[#This Row],[gross_profit]]/historical_actuals3[[#This Row],[net_sales]],0)</f>
        <v>0.22231571821769472</v>
      </c>
      <c r="G170" s="2">
        <v>71691.97</v>
      </c>
      <c r="H170" s="2">
        <v>113785.9</v>
      </c>
      <c r="I170" s="2">
        <f>historical_actuals3[[#This Row],[gross_profit]]-historical_actuals3[[#This Row],[labour_cost]]-historical_actuals3[[#This Row],[operating_expenses]]</f>
        <v>192858.13000000003</v>
      </c>
      <c r="J170" s="3">
        <f>IFERROR(historical_actuals3[[#This Row],[operating_profit]]/historical_actuals3[[#This Row],[net_sales]],0)</f>
        <v>0.11332623299149841</v>
      </c>
    </row>
    <row r="171" spans="1:10" x14ac:dyDescent="0.3">
      <c r="A171" t="s">
        <v>38</v>
      </c>
      <c r="B171" t="s">
        <v>11</v>
      </c>
      <c r="C171" s="2">
        <v>1654406</v>
      </c>
      <c r="D171" s="2">
        <v>1294694</v>
      </c>
      <c r="E171" s="2">
        <f>historical_actuals3[[#This Row],[net_sales]]-historical_actuals3[[#This Row],[cogs]]</f>
        <v>359712</v>
      </c>
      <c r="F171" s="3">
        <f>IFERROR(historical_actuals3[[#This Row],[gross_profit]]/historical_actuals3[[#This Row],[net_sales]],0)</f>
        <v>0.21742667761117887</v>
      </c>
      <c r="G171" s="2">
        <v>69689.06</v>
      </c>
      <c r="H171" s="2">
        <v>134861.76999999999</v>
      </c>
      <c r="I171" s="2">
        <f>historical_actuals3[[#This Row],[gross_profit]]-historical_actuals3[[#This Row],[labour_cost]]-historical_actuals3[[#This Row],[operating_expenses]]</f>
        <v>155161.17000000001</v>
      </c>
      <c r="J171" s="3">
        <f>IFERROR(historical_actuals3[[#This Row],[operating_profit]]/historical_actuals3[[#This Row],[net_sales]],0)</f>
        <v>9.3786633994315791E-2</v>
      </c>
    </row>
    <row r="172" spans="1:10" x14ac:dyDescent="0.3">
      <c r="A172" t="s">
        <v>38</v>
      </c>
      <c r="B172" t="s">
        <v>12</v>
      </c>
      <c r="C172" s="2">
        <v>1816923</v>
      </c>
      <c r="D172" s="2">
        <v>1415981</v>
      </c>
      <c r="E172" s="2">
        <f>historical_actuals3[[#This Row],[net_sales]]-historical_actuals3[[#This Row],[cogs]]</f>
        <v>400942</v>
      </c>
      <c r="F172" s="3">
        <f>IFERROR(historical_actuals3[[#This Row],[gross_profit]]/historical_actuals3[[#This Row],[net_sales]],0)</f>
        <v>0.22067088148479599</v>
      </c>
      <c r="G172" s="2">
        <v>68729.240000000005</v>
      </c>
      <c r="H172" s="2">
        <v>127214.17</v>
      </c>
      <c r="I172" s="2">
        <f>historical_actuals3[[#This Row],[gross_profit]]-historical_actuals3[[#This Row],[labour_cost]]-historical_actuals3[[#This Row],[operating_expenses]]</f>
        <v>204998.59000000003</v>
      </c>
      <c r="J172" s="3">
        <f>IFERROR(historical_actuals3[[#This Row],[operating_profit]]/historical_actuals3[[#This Row],[net_sales]],0)</f>
        <v>0.11282734050920155</v>
      </c>
    </row>
    <row r="173" spans="1:10" x14ac:dyDescent="0.3">
      <c r="A173" t="s">
        <v>38</v>
      </c>
      <c r="B173" t="s">
        <v>13</v>
      </c>
      <c r="C173" s="2">
        <v>1529168</v>
      </c>
      <c r="D173" s="2">
        <v>1170731</v>
      </c>
      <c r="E173" s="2">
        <f>historical_actuals3[[#This Row],[net_sales]]-historical_actuals3[[#This Row],[cogs]]</f>
        <v>358437</v>
      </c>
      <c r="F173" s="3">
        <f>IFERROR(historical_actuals3[[#This Row],[gross_profit]]/historical_actuals3[[#This Row],[net_sales]],0)</f>
        <v>0.23440001360216797</v>
      </c>
      <c r="G173" s="2">
        <v>72005.63</v>
      </c>
      <c r="H173" s="2">
        <v>136155.84</v>
      </c>
      <c r="I173" s="2">
        <f>historical_actuals3[[#This Row],[gross_profit]]-historical_actuals3[[#This Row],[labour_cost]]-historical_actuals3[[#This Row],[operating_expenses]]</f>
        <v>150275.53</v>
      </c>
      <c r="J173" s="3">
        <f>IFERROR(historical_actuals3[[#This Row],[operating_profit]]/historical_actuals3[[#This Row],[net_sales]],0)</f>
        <v>9.8272740470635014E-2</v>
      </c>
    </row>
    <row r="174" spans="1:10" x14ac:dyDescent="0.3">
      <c r="A174" t="s">
        <v>38</v>
      </c>
      <c r="B174" t="s">
        <v>14</v>
      </c>
      <c r="C174" s="2">
        <v>1681712</v>
      </c>
      <c r="D174" s="2">
        <v>1340035</v>
      </c>
      <c r="E174" s="2">
        <f>historical_actuals3[[#This Row],[net_sales]]-historical_actuals3[[#This Row],[cogs]]</f>
        <v>341677</v>
      </c>
      <c r="F174" s="3">
        <f>IFERROR(historical_actuals3[[#This Row],[gross_profit]]/historical_actuals3[[#This Row],[net_sales]],0)</f>
        <v>0.20317212459683942</v>
      </c>
      <c r="G174" s="2">
        <v>69250.259999999995</v>
      </c>
      <c r="H174" s="2">
        <v>120059.53</v>
      </c>
      <c r="I174" s="2">
        <f>historical_actuals3[[#This Row],[gross_profit]]-historical_actuals3[[#This Row],[labour_cost]]-historical_actuals3[[#This Row],[operating_expenses]]</f>
        <v>152367.21</v>
      </c>
      <c r="J174" s="3">
        <f>IFERROR(historical_actuals3[[#This Row],[operating_profit]]/historical_actuals3[[#This Row],[net_sales]],0)</f>
        <v>9.060243965673076E-2</v>
      </c>
    </row>
    <row r="175" spans="1:10" x14ac:dyDescent="0.3">
      <c r="A175" t="s">
        <v>38</v>
      </c>
      <c r="B175" t="s">
        <v>15</v>
      </c>
      <c r="C175" s="2">
        <v>1698318</v>
      </c>
      <c r="D175" s="2">
        <v>1310420</v>
      </c>
      <c r="E175" s="2">
        <f>historical_actuals3[[#This Row],[net_sales]]-historical_actuals3[[#This Row],[cogs]]</f>
        <v>387898</v>
      </c>
      <c r="F175" s="3">
        <f>IFERROR(historical_actuals3[[#This Row],[gross_profit]]/historical_actuals3[[#This Row],[net_sales]],0)</f>
        <v>0.22840127702821261</v>
      </c>
      <c r="G175" s="2">
        <v>71542.33</v>
      </c>
      <c r="H175" s="2">
        <v>137486.32</v>
      </c>
      <c r="I175" s="2">
        <f>historical_actuals3[[#This Row],[gross_profit]]-historical_actuals3[[#This Row],[labour_cost]]-historical_actuals3[[#This Row],[operating_expenses]]</f>
        <v>178869.34999999998</v>
      </c>
      <c r="J175" s="3">
        <f>IFERROR(historical_actuals3[[#This Row],[operating_profit]]/historical_actuals3[[#This Row],[net_sales]],0)</f>
        <v>0.10532147100837415</v>
      </c>
    </row>
    <row r="176" spans="1:10" x14ac:dyDescent="0.3">
      <c r="A176" t="s">
        <v>38</v>
      </c>
      <c r="B176" t="s">
        <v>16</v>
      </c>
      <c r="C176" s="2">
        <v>1472558</v>
      </c>
      <c r="D176" s="2">
        <v>1164335</v>
      </c>
      <c r="E176" s="2">
        <f>historical_actuals3[[#This Row],[net_sales]]-historical_actuals3[[#This Row],[cogs]]</f>
        <v>308223</v>
      </c>
      <c r="F176" s="3">
        <f>IFERROR(historical_actuals3[[#This Row],[gross_profit]]/historical_actuals3[[#This Row],[net_sales]],0)</f>
        <v>0.20931128009898423</v>
      </c>
      <c r="G176" s="2">
        <v>69409.25</v>
      </c>
      <c r="H176" s="2">
        <v>115722.06</v>
      </c>
      <c r="I176" s="2">
        <f>historical_actuals3[[#This Row],[gross_profit]]-historical_actuals3[[#This Row],[labour_cost]]-historical_actuals3[[#This Row],[operating_expenses]]</f>
        <v>123091.69</v>
      </c>
      <c r="J176" s="3">
        <f>IFERROR(historical_actuals3[[#This Row],[operating_profit]]/historical_actuals3[[#This Row],[net_sales]],0)</f>
        <v>8.3590384894856429E-2</v>
      </c>
    </row>
    <row r="177" spans="1:10" x14ac:dyDescent="0.3">
      <c r="A177" t="s">
        <v>38</v>
      </c>
      <c r="B177" t="s">
        <v>17</v>
      </c>
      <c r="C177" s="2">
        <v>1602779</v>
      </c>
      <c r="D177" s="2">
        <v>1252173</v>
      </c>
      <c r="E177" s="2">
        <f>historical_actuals3[[#This Row],[net_sales]]-historical_actuals3[[#This Row],[cogs]]</f>
        <v>350606</v>
      </c>
      <c r="F177" s="3">
        <f>IFERROR(historical_actuals3[[#This Row],[gross_profit]]/historical_actuals3[[#This Row],[net_sales]],0)</f>
        <v>0.21874881065948582</v>
      </c>
      <c r="G177" s="2">
        <v>71216.2</v>
      </c>
      <c r="H177" s="2">
        <v>121356.33</v>
      </c>
      <c r="I177" s="2">
        <f>historical_actuals3[[#This Row],[gross_profit]]-historical_actuals3[[#This Row],[labour_cost]]-historical_actuals3[[#This Row],[operating_expenses]]</f>
        <v>158033.46999999997</v>
      </c>
      <c r="J177" s="3">
        <f>IFERROR(historical_actuals3[[#This Row],[operating_profit]]/historical_actuals3[[#This Row],[net_sales]],0)</f>
        <v>9.8599663459528711E-2</v>
      </c>
    </row>
    <row r="178" spans="1:10" x14ac:dyDescent="0.3">
      <c r="A178" t="s">
        <v>38</v>
      </c>
      <c r="B178" t="s">
        <v>18</v>
      </c>
      <c r="C178" s="2">
        <v>1704438</v>
      </c>
      <c r="D178" s="2">
        <v>1310175</v>
      </c>
      <c r="E178" s="2">
        <f>historical_actuals3[[#This Row],[net_sales]]-historical_actuals3[[#This Row],[cogs]]</f>
        <v>394263</v>
      </c>
      <c r="F178" s="3">
        <f>IFERROR(historical_actuals3[[#This Row],[gross_profit]]/historical_actuals3[[#This Row],[net_sales]],0)</f>
        <v>0.23131554213177599</v>
      </c>
      <c r="G178" s="2">
        <v>70247.53</v>
      </c>
      <c r="H178" s="2">
        <v>115431.63</v>
      </c>
      <c r="I178" s="2">
        <f>historical_actuals3[[#This Row],[gross_profit]]-historical_actuals3[[#This Row],[labour_cost]]-historical_actuals3[[#This Row],[operating_expenses]]</f>
        <v>208583.83999999997</v>
      </c>
      <c r="J178" s="3">
        <f>IFERROR(historical_actuals3[[#This Row],[operating_profit]]/historical_actuals3[[#This Row],[net_sales]],0)</f>
        <v>0.12237690077315805</v>
      </c>
    </row>
    <row r="179" spans="1:10" x14ac:dyDescent="0.3">
      <c r="A179" t="s">
        <v>38</v>
      </c>
      <c r="B179" t="s">
        <v>19</v>
      </c>
      <c r="C179" s="2">
        <v>1656965</v>
      </c>
      <c r="D179" s="2">
        <v>1284169</v>
      </c>
      <c r="E179" s="2">
        <f>historical_actuals3[[#This Row],[net_sales]]-historical_actuals3[[#This Row],[cogs]]</f>
        <v>372796</v>
      </c>
      <c r="F179" s="3">
        <f>IFERROR(historical_actuals3[[#This Row],[gross_profit]]/historical_actuals3[[#This Row],[net_sales]],0)</f>
        <v>0.22498725078683013</v>
      </c>
      <c r="G179" s="2">
        <v>70300.570000000007</v>
      </c>
      <c r="H179" s="2">
        <v>112728.3</v>
      </c>
      <c r="I179" s="2">
        <f>historical_actuals3[[#This Row],[gross_profit]]-historical_actuals3[[#This Row],[labour_cost]]-historical_actuals3[[#This Row],[operating_expenses]]</f>
        <v>189767.13</v>
      </c>
      <c r="J179" s="3">
        <f>IFERROR(historical_actuals3[[#This Row],[operating_profit]]/historical_actuals3[[#This Row],[net_sales]],0)</f>
        <v>0.11452693931374532</v>
      </c>
    </row>
    <row r="180" spans="1:10" x14ac:dyDescent="0.3">
      <c r="A180" t="s">
        <v>38</v>
      </c>
      <c r="B180" t="s">
        <v>20</v>
      </c>
      <c r="C180" s="2">
        <v>1727266</v>
      </c>
      <c r="D180" s="2">
        <v>1353270</v>
      </c>
      <c r="E180" s="2">
        <f>historical_actuals3[[#This Row],[net_sales]]-historical_actuals3[[#This Row],[cogs]]</f>
        <v>373996</v>
      </c>
      <c r="F180" s="3">
        <f>IFERROR(historical_actuals3[[#This Row],[gross_profit]]/historical_actuals3[[#This Row],[net_sales]],0)</f>
        <v>0.21652484330728447</v>
      </c>
      <c r="G180" s="2">
        <v>69939.759999999995</v>
      </c>
      <c r="H180" s="2">
        <v>125852.3</v>
      </c>
      <c r="I180" s="2">
        <f>historical_actuals3[[#This Row],[gross_profit]]-historical_actuals3[[#This Row],[labour_cost]]-historical_actuals3[[#This Row],[operating_expenses]]</f>
        <v>178203.94</v>
      </c>
      <c r="J180" s="3">
        <f>IFERROR(historical_actuals3[[#This Row],[operating_profit]]/historical_actuals3[[#This Row],[net_sales]],0)</f>
        <v>0.10317110392956268</v>
      </c>
    </row>
    <row r="181" spans="1:10" x14ac:dyDescent="0.3">
      <c r="A181" t="s">
        <v>38</v>
      </c>
      <c r="B181" t="s">
        <v>21</v>
      </c>
      <c r="C181" s="2">
        <v>1578075</v>
      </c>
      <c r="D181" s="2">
        <v>1245041</v>
      </c>
      <c r="E181" s="2">
        <f>historical_actuals3[[#This Row],[net_sales]]-historical_actuals3[[#This Row],[cogs]]</f>
        <v>333034</v>
      </c>
      <c r="F181" s="3">
        <f>IFERROR(historical_actuals3[[#This Row],[gross_profit]]/historical_actuals3[[#This Row],[net_sales]],0)</f>
        <v>0.21103813190120876</v>
      </c>
      <c r="G181" s="2">
        <v>67743.59</v>
      </c>
      <c r="H181" s="2">
        <v>117601.81</v>
      </c>
      <c r="I181" s="2">
        <f>historical_actuals3[[#This Row],[gross_profit]]-historical_actuals3[[#This Row],[labour_cost]]-historical_actuals3[[#This Row],[operating_expenses]]</f>
        <v>147688.60000000003</v>
      </c>
      <c r="J181" s="3">
        <f>IFERROR(historical_actuals3[[#This Row],[operating_profit]]/historical_actuals3[[#This Row],[net_sales]],0)</f>
        <v>9.3587820604217192E-2</v>
      </c>
    </row>
    <row r="182" spans="1:10" x14ac:dyDescent="0.3">
      <c r="A182" t="s">
        <v>38</v>
      </c>
      <c r="B182" t="s">
        <v>22</v>
      </c>
      <c r="C182" s="2">
        <v>1632289</v>
      </c>
      <c r="D182" s="2">
        <v>1267044</v>
      </c>
      <c r="E182" s="2">
        <f>historical_actuals3[[#This Row],[net_sales]]-historical_actuals3[[#This Row],[cogs]]</f>
        <v>365245</v>
      </c>
      <c r="F182" s="3">
        <f>IFERROR(historical_actuals3[[#This Row],[gross_profit]]/historical_actuals3[[#This Row],[net_sales]],0)</f>
        <v>0.22376245873126635</v>
      </c>
      <c r="G182" s="2">
        <v>68412.87</v>
      </c>
      <c r="H182" s="2">
        <v>114418.17</v>
      </c>
      <c r="I182" s="2">
        <f>historical_actuals3[[#This Row],[gross_profit]]-historical_actuals3[[#This Row],[labour_cost]]-historical_actuals3[[#This Row],[operating_expenses]]</f>
        <v>182413.96000000002</v>
      </c>
      <c r="J182" s="3">
        <f>IFERROR(historical_actuals3[[#This Row],[operating_profit]]/historical_actuals3[[#This Row],[net_sales]],0)</f>
        <v>0.11175347012691994</v>
      </c>
    </row>
    <row r="183" spans="1:10" x14ac:dyDescent="0.3">
      <c r="A183" t="s">
        <v>38</v>
      </c>
      <c r="B183" t="s">
        <v>23</v>
      </c>
      <c r="C183" s="2">
        <v>1821959</v>
      </c>
      <c r="D183" s="2">
        <v>1406040</v>
      </c>
      <c r="E183" s="2">
        <f>historical_actuals3[[#This Row],[net_sales]]-historical_actuals3[[#This Row],[cogs]]</f>
        <v>415919</v>
      </c>
      <c r="F183" s="3">
        <f>IFERROR(historical_actuals3[[#This Row],[gross_profit]]/historical_actuals3[[#This Row],[net_sales]],0)</f>
        <v>0.22828120720608971</v>
      </c>
      <c r="G183" s="2">
        <v>69176.05</v>
      </c>
      <c r="H183" s="2">
        <v>130628.14</v>
      </c>
      <c r="I183" s="2">
        <f>historical_actuals3[[#This Row],[gross_profit]]-historical_actuals3[[#This Row],[labour_cost]]-historical_actuals3[[#This Row],[operating_expenses]]</f>
        <v>216114.81</v>
      </c>
      <c r="J183" s="3">
        <f>IFERROR(historical_actuals3[[#This Row],[operating_profit]]/historical_actuals3[[#This Row],[net_sales]],0)</f>
        <v>0.11861672518426594</v>
      </c>
    </row>
    <row r="184" spans="1:10" x14ac:dyDescent="0.3">
      <c r="A184" t="s">
        <v>38</v>
      </c>
      <c r="B184" t="s">
        <v>24</v>
      </c>
      <c r="C184" s="2">
        <v>1779069</v>
      </c>
      <c r="D184" s="2">
        <v>1381860</v>
      </c>
      <c r="E184" s="2">
        <f>historical_actuals3[[#This Row],[net_sales]]-historical_actuals3[[#This Row],[cogs]]</f>
        <v>397209</v>
      </c>
      <c r="F184" s="3">
        <f>IFERROR(historical_actuals3[[#This Row],[gross_profit]]/historical_actuals3[[#This Row],[net_sales]],0)</f>
        <v>0.22326790023321186</v>
      </c>
      <c r="G184" s="2">
        <v>68901.63</v>
      </c>
      <c r="H184" s="2">
        <v>138053.06</v>
      </c>
      <c r="I184" s="2">
        <f>historical_actuals3[[#This Row],[gross_profit]]-historical_actuals3[[#This Row],[labour_cost]]-historical_actuals3[[#This Row],[operating_expenses]]</f>
        <v>190254.31</v>
      </c>
      <c r="J184" s="3">
        <f>IFERROR(historical_actuals3[[#This Row],[operating_profit]]/historical_actuals3[[#This Row],[net_sales]],0)</f>
        <v>0.10694037724225423</v>
      </c>
    </row>
    <row r="185" spans="1:10" x14ac:dyDescent="0.3">
      <c r="A185" t="s">
        <v>38</v>
      </c>
      <c r="B185" t="s">
        <v>25</v>
      </c>
      <c r="C185" s="2">
        <v>1600363</v>
      </c>
      <c r="D185" s="2">
        <v>1265899</v>
      </c>
      <c r="E185" s="2">
        <f>historical_actuals3[[#This Row],[net_sales]]-historical_actuals3[[#This Row],[cogs]]</f>
        <v>334464</v>
      </c>
      <c r="F185" s="3">
        <f>IFERROR(historical_actuals3[[#This Row],[gross_profit]]/historical_actuals3[[#This Row],[net_sales]],0)</f>
        <v>0.20899258480732183</v>
      </c>
      <c r="G185" s="2">
        <v>16284.75</v>
      </c>
      <c r="H185" s="2">
        <v>26702.79</v>
      </c>
      <c r="I185" s="2">
        <f>historical_actuals3[[#This Row],[gross_profit]]-historical_actuals3[[#This Row],[labour_cost]]-historical_actuals3[[#This Row],[operating_expenses]]</f>
        <v>291476.46000000002</v>
      </c>
      <c r="J185" s="3">
        <f>IFERROR(historical_actuals3[[#This Row],[operating_profit]]/historical_actuals3[[#This Row],[net_sales]],0)</f>
        <v>0.18213146642355518</v>
      </c>
    </row>
    <row r="186" spans="1:10" x14ac:dyDescent="0.3">
      <c r="A186" t="s">
        <v>38</v>
      </c>
      <c r="B186" t="s">
        <v>26</v>
      </c>
      <c r="C186" s="2">
        <v>1668345</v>
      </c>
      <c r="D186" s="2">
        <v>1329317</v>
      </c>
      <c r="E186" s="2">
        <f>historical_actuals3[[#This Row],[net_sales]]-historical_actuals3[[#This Row],[cogs]]</f>
        <v>339028</v>
      </c>
      <c r="F186" s="3">
        <f>IFERROR(historical_actuals3[[#This Row],[gross_profit]]/historical_actuals3[[#This Row],[net_sales]],0)</f>
        <v>0.20321216534949307</v>
      </c>
      <c r="G186" s="2">
        <v>16410.189999999999</v>
      </c>
      <c r="H186" s="2">
        <v>28827.91</v>
      </c>
      <c r="I186" s="2">
        <f>historical_actuals3[[#This Row],[gross_profit]]-historical_actuals3[[#This Row],[labour_cost]]-historical_actuals3[[#This Row],[operating_expenses]]</f>
        <v>293789.90000000002</v>
      </c>
      <c r="J186" s="3">
        <f>IFERROR(historical_actuals3[[#This Row],[operating_profit]]/historical_actuals3[[#This Row],[net_sales]],0)</f>
        <v>0.176096610713012</v>
      </c>
    </row>
    <row r="187" spans="1:10" x14ac:dyDescent="0.3">
      <c r="A187" t="s">
        <v>38</v>
      </c>
      <c r="B187" t="s">
        <v>27</v>
      </c>
      <c r="C187" s="2">
        <v>1462781</v>
      </c>
      <c r="D187" s="2">
        <v>1154618</v>
      </c>
      <c r="E187" s="2">
        <f>historical_actuals3[[#This Row],[net_sales]]-historical_actuals3[[#This Row],[cogs]]</f>
        <v>308163</v>
      </c>
      <c r="F187" s="3">
        <f>IFERROR(historical_actuals3[[#This Row],[gross_profit]]/historical_actuals3[[#This Row],[net_sales]],0)</f>
        <v>0.2106692662811453</v>
      </c>
      <c r="G187" s="2">
        <v>16513.29</v>
      </c>
      <c r="H187" s="2">
        <v>26909.3</v>
      </c>
      <c r="I187" s="2">
        <f>historical_actuals3[[#This Row],[gross_profit]]-historical_actuals3[[#This Row],[labour_cost]]-historical_actuals3[[#This Row],[operating_expenses]]</f>
        <v>264740.41000000003</v>
      </c>
      <c r="J187" s="3">
        <f>IFERROR(historical_actuals3[[#This Row],[operating_profit]]/historical_actuals3[[#This Row],[net_sales]],0)</f>
        <v>0.18098431002316823</v>
      </c>
    </row>
    <row r="188" spans="1:10" x14ac:dyDescent="0.3">
      <c r="A188" t="s">
        <v>38</v>
      </c>
      <c r="B188" t="s">
        <v>28</v>
      </c>
      <c r="C188" s="2">
        <v>1738755</v>
      </c>
      <c r="D188" s="2">
        <v>1382633</v>
      </c>
      <c r="E188" s="2">
        <f>historical_actuals3[[#This Row],[net_sales]]-historical_actuals3[[#This Row],[cogs]]</f>
        <v>356122</v>
      </c>
      <c r="F188" s="3">
        <f>IFERROR(historical_actuals3[[#This Row],[gross_profit]]/historical_actuals3[[#This Row],[net_sales]],0)</f>
        <v>0.20481436430089345</v>
      </c>
      <c r="G188" s="2">
        <v>16608.36</v>
      </c>
      <c r="H188" s="2">
        <v>27593.52</v>
      </c>
      <c r="I188" s="2">
        <f>historical_actuals3[[#This Row],[gross_profit]]-historical_actuals3[[#This Row],[labour_cost]]-historical_actuals3[[#This Row],[operating_expenses]]</f>
        <v>311920.12</v>
      </c>
      <c r="J188" s="3">
        <f>IFERROR(historical_actuals3[[#This Row],[operating_profit]]/historical_actuals3[[#This Row],[net_sales]],0)</f>
        <v>0.17939279541971123</v>
      </c>
    </row>
    <row r="189" spans="1:10" x14ac:dyDescent="0.3">
      <c r="A189" t="s">
        <v>38</v>
      </c>
      <c r="B189" t="s">
        <v>31</v>
      </c>
      <c r="C189" s="2">
        <v>1894135</v>
      </c>
      <c r="D189" s="2">
        <v>1464867</v>
      </c>
      <c r="E189" s="2">
        <f>historical_actuals3[[#This Row],[net_sales]]-historical_actuals3[[#This Row],[cogs]]</f>
        <v>429268</v>
      </c>
      <c r="F189" s="3">
        <f>IFERROR(historical_actuals3[[#This Row],[gross_profit]]/historical_actuals3[[#This Row],[net_sales]],0)</f>
        <v>0.22663009764351538</v>
      </c>
      <c r="G189" s="2">
        <v>16618.57</v>
      </c>
      <c r="H189" s="2">
        <v>26319.08</v>
      </c>
      <c r="I189" s="2">
        <f>historical_actuals3[[#This Row],[gross_profit]]-historical_actuals3[[#This Row],[labour_cost]]-historical_actuals3[[#This Row],[operating_expenses]]</f>
        <v>386330.35</v>
      </c>
      <c r="J189" s="3">
        <f>IFERROR(historical_actuals3[[#This Row],[operating_profit]]/historical_actuals3[[#This Row],[net_sales]],0)</f>
        <v>0.2039613596707732</v>
      </c>
    </row>
    <row r="190" spans="1:10" x14ac:dyDescent="0.3">
      <c r="A190" t="s">
        <v>38</v>
      </c>
      <c r="B190" t="s">
        <v>37</v>
      </c>
      <c r="C190" s="2">
        <v>3517627</v>
      </c>
      <c r="D190" s="2">
        <v>2765402</v>
      </c>
      <c r="E190" s="2">
        <f>historical_actuals3[[#This Row],[net_sales]]-historical_actuals3[[#This Row],[cogs]]</f>
        <v>752225</v>
      </c>
      <c r="F190" s="3">
        <f>IFERROR(historical_actuals3[[#This Row],[gross_profit]]/historical_actuals3[[#This Row],[net_sales]],0)</f>
        <v>0.21384444683873532</v>
      </c>
      <c r="G190" s="2">
        <v>15896.71</v>
      </c>
      <c r="H190" s="2">
        <v>26152.89</v>
      </c>
      <c r="I190" s="2">
        <f>historical_actuals3[[#This Row],[gross_profit]]-historical_actuals3[[#This Row],[labour_cost]]-historical_actuals3[[#This Row],[operating_expenses]]</f>
        <v>710175.4</v>
      </c>
      <c r="J190" s="3">
        <f>IFERROR(historical_actuals3[[#This Row],[operating_profit]]/historical_actuals3[[#This Row],[net_sales]],0)</f>
        <v>0.20189047900758098</v>
      </c>
    </row>
    <row r="191" spans="1:10" x14ac:dyDescent="0.3">
      <c r="A191" t="s">
        <v>38</v>
      </c>
      <c r="B191" t="s">
        <v>32</v>
      </c>
      <c r="C191" s="2">
        <v>2152258</v>
      </c>
      <c r="D191" s="2">
        <v>1683032</v>
      </c>
      <c r="E191" s="2">
        <f>historical_actuals3[[#This Row],[net_sales]]-historical_actuals3[[#This Row],[cogs]]</f>
        <v>469226</v>
      </c>
      <c r="F191" s="3">
        <f>IFERROR(historical_actuals3[[#This Row],[gross_profit]]/historical_actuals3[[#This Row],[net_sales]],0)</f>
        <v>0.21801568399327589</v>
      </c>
      <c r="G191" s="2">
        <v>16939.25</v>
      </c>
      <c r="H191" s="2">
        <v>25248.31</v>
      </c>
      <c r="I191" s="2">
        <f>historical_actuals3[[#This Row],[gross_profit]]-historical_actuals3[[#This Row],[labour_cost]]-historical_actuals3[[#This Row],[operating_expenses]]</f>
        <v>427038.44</v>
      </c>
      <c r="J191" s="3">
        <f>IFERROR(historical_actuals3[[#This Row],[operating_profit]]/historical_actuals3[[#This Row],[net_sales]],0)</f>
        <v>0.19841414923303805</v>
      </c>
    </row>
    <row r="192" spans="1:10" x14ac:dyDescent="0.3">
      <c r="A192" t="s">
        <v>39</v>
      </c>
      <c r="B192" t="s">
        <v>7</v>
      </c>
      <c r="C192" s="2">
        <v>1358510</v>
      </c>
      <c r="D192" s="2">
        <v>1064356</v>
      </c>
      <c r="E192" s="2">
        <f>historical_actuals3[[#This Row],[net_sales]]-historical_actuals3[[#This Row],[cogs]]</f>
        <v>294154</v>
      </c>
      <c r="F192" s="3">
        <f>IFERROR(historical_actuals3[[#This Row],[gross_profit]]/historical_actuals3[[#This Row],[net_sales]],0)</f>
        <v>0.21652693023974795</v>
      </c>
      <c r="G192" s="2">
        <v>67420.570000000007</v>
      </c>
      <c r="H192" s="2">
        <v>136618.07</v>
      </c>
      <c r="I192" s="2">
        <f>historical_actuals3[[#This Row],[gross_profit]]-historical_actuals3[[#This Row],[labour_cost]]-historical_actuals3[[#This Row],[operating_expenses]]</f>
        <v>90115.359999999986</v>
      </c>
      <c r="J192" s="3">
        <f>IFERROR(historical_actuals3[[#This Row],[operating_profit]]/historical_actuals3[[#This Row],[net_sales]],0)</f>
        <v>6.63339688335014E-2</v>
      </c>
    </row>
    <row r="193" spans="1:10" x14ac:dyDescent="0.3">
      <c r="A193" t="s">
        <v>39</v>
      </c>
      <c r="B193" t="s">
        <v>8</v>
      </c>
      <c r="C193" s="2">
        <v>1680968</v>
      </c>
      <c r="D193" s="2">
        <v>1307336</v>
      </c>
      <c r="E193" s="2">
        <f>historical_actuals3[[#This Row],[net_sales]]-historical_actuals3[[#This Row],[cogs]]</f>
        <v>373632</v>
      </c>
      <c r="F193" s="3">
        <f>IFERROR(historical_actuals3[[#This Row],[gross_profit]]/historical_actuals3[[#This Row],[net_sales]],0)</f>
        <v>0.22227192903136764</v>
      </c>
      <c r="G193" s="2">
        <v>67029.05</v>
      </c>
      <c r="H193" s="2">
        <v>138202.87</v>
      </c>
      <c r="I193" s="2">
        <f>historical_actuals3[[#This Row],[gross_profit]]-historical_actuals3[[#This Row],[labour_cost]]-historical_actuals3[[#This Row],[operating_expenses]]</f>
        <v>168400.08000000002</v>
      </c>
      <c r="J193" s="3">
        <f>IFERROR(historical_actuals3[[#This Row],[operating_profit]]/historical_actuals3[[#This Row],[net_sales]],0)</f>
        <v>0.10018041985332261</v>
      </c>
    </row>
    <row r="194" spans="1:10" x14ac:dyDescent="0.3">
      <c r="A194" t="s">
        <v>39</v>
      </c>
      <c r="B194" t="s">
        <v>9</v>
      </c>
      <c r="C194" s="2">
        <v>1525152</v>
      </c>
      <c r="D194" s="2">
        <v>1182753</v>
      </c>
      <c r="E194" s="2">
        <f>historical_actuals3[[#This Row],[net_sales]]-historical_actuals3[[#This Row],[cogs]]</f>
        <v>342399</v>
      </c>
      <c r="F194" s="3">
        <f>IFERROR(historical_actuals3[[#This Row],[gross_profit]]/historical_actuals3[[#This Row],[net_sales]],0)</f>
        <v>0.22450155787750992</v>
      </c>
      <c r="G194" s="2">
        <v>67526.759999999995</v>
      </c>
      <c r="H194" s="2">
        <v>139041.22</v>
      </c>
      <c r="I194" s="2">
        <f>historical_actuals3[[#This Row],[gross_profit]]-historical_actuals3[[#This Row],[labour_cost]]-historical_actuals3[[#This Row],[operating_expenses]]</f>
        <v>135831.01999999999</v>
      </c>
      <c r="J194" s="3">
        <f>IFERROR(historical_actuals3[[#This Row],[operating_profit]]/historical_actuals3[[#This Row],[net_sales]],0)</f>
        <v>8.9060644447241974E-2</v>
      </c>
    </row>
    <row r="195" spans="1:10" x14ac:dyDescent="0.3">
      <c r="A195" t="s">
        <v>39</v>
      </c>
      <c r="B195" t="s">
        <v>10</v>
      </c>
      <c r="C195" s="2">
        <v>1733930</v>
      </c>
      <c r="D195" s="2">
        <v>1348677</v>
      </c>
      <c r="E195" s="2">
        <f>historical_actuals3[[#This Row],[net_sales]]-historical_actuals3[[#This Row],[cogs]]</f>
        <v>385253</v>
      </c>
      <c r="F195" s="3">
        <f>IFERROR(historical_actuals3[[#This Row],[gross_profit]]/historical_actuals3[[#This Row],[net_sales]],0)</f>
        <v>0.22218486328744527</v>
      </c>
      <c r="G195" s="2">
        <v>67456.55</v>
      </c>
      <c r="H195" s="2">
        <v>122415.39</v>
      </c>
      <c r="I195" s="2">
        <f>historical_actuals3[[#This Row],[gross_profit]]-historical_actuals3[[#This Row],[labour_cost]]-historical_actuals3[[#This Row],[operating_expenses]]</f>
        <v>195381.06</v>
      </c>
      <c r="J195" s="3">
        <f>IFERROR(historical_actuals3[[#This Row],[operating_profit]]/historical_actuals3[[#This Row],[net_sales]],0)</f>
        <v>0.11268105402178866</v>
      </c>
    </row>
    <row r="196" spans="1:10" x14ac:dyDescent="0.3">
      <c r="A196" t="s">
        <v>39</v>
      </c>
      <c r="B196" t="s">
        <v>11</v>
      </c>
      <c r="C196" s="2">
        <v>1624274</v>
      </c>
      <c r="D196" s="2">
        <v>1264273</v>
      </c>
      <c r="E196" s="2">
        <f>historical_actuals3[[#This Row],[net_sales]]-historical_actuals3[[#This Row],[cogs]]</f>
        <v>360001</v>
      </c>
      <c r="F196" s="3">
        <f>IFERROR(historical_actuals3[[#This Row],[gross_profit]]/historical_actuals3[[#This Row],[net_sales]],0)</f>
        <v>0.22163809800563206</v>
      </c>
      <c r="G196" s="2">
        <v>68105.06</v>
      </c>
      <c r="H196" s="2">
        <v>119748.5</v>
      </c>
      <c r="I196" s="2">
        <f>historical_actuals3[[#This Row],[gross_profit]]-historical_actuals3[[#This Row],[labour_cost]]-historical_actuals3[[#This Row],[operating_expenses]]</f>
        <v>172147.44</v>
      </c>
      <c r="J196" s="3">
        <f>IFERROR(historical_actuals3[[#This Row],[operating_profit]]/historical_actuals3[[#This Row],[net_sales]],0)</f>
        <v>0.10598423664972782</v>
      </c>
    </row>
    <row r="197" spans="1:10" x14ac:dyDescent="0.3">
      <c r="A197" t="s">
        <v>39</v>
      </c>
      <c r="B197" t="s">
        <v>12</v>
      </c>
      <c r="C197" s="2">
        <v>1578599</v>
      </c>
      <c r="D197" s="2">
        <v>1265124</v>
      </c>
      <c r="E197" s="2">
        <f>historical_actuals3[[#This Row],[net_sales]]-historical_actuals3[[#This Row],[cogs]]</f>
        <v>313475</v>
      </c>
      <c r="F197" s="3">
        <f>IFERROR(historical_actuals3[[#This Row],[gross_profit]]/historical_actuals3[[#This Row],[net_sales]],0)</f>
        <v>0.19857797958822981</v>
      </c>
      <c r="G197" s="2">
        <v>67359.63</v>
      </c>
      <c r="H197" s="2">
        <v>126684.98</v>
      </c>
      <c r="I197" s="2">
        <f>historical_actuals3[[#This Row],[gross_profit]]-historical_actuals3[[#This Row],[labour_cost]]-historical_actuals3[[#This Row],[operating_expenses]]</f>
        <v>119430.39</v>
      </c>
      <c r="J197" s="3">
        <f>IFERROR(historical_actuals3[[#This Row],[operating_profit]]/historical_actuals3[[#This Row],[net_sales]],0)</f>
        <v>7.5655939222057031E-2</v>
      </c>
    </row>
    <row r="198" spans="1:10" x14ac:dyDescent="0.3">
      <c r="A198" t="s">
        <v>39</v>
      </c>
      <c r="B198" t="s">
        <v>13</v>
      </c>
      <c r="C198" s="2">
        <v>1586082</v>
      </c>
      <c r="D198" s="2">
        <v>1262933</v>
      </c>
      <c r="E198" s="2">
        <f>historical_actuals3[[#This Row],[net_sales]]-historical_actuals3[[#This Row],[cogs]]</f>
        <v>323149</v>
      </c>
      <c r="F198" s="3">
        <f>IFERROR(historical_actuals3[[#This Row],[gross_profit]]/historical_actuals3[[#This Row],[net_sales]],0)</f>
        <v>0.20374041190808545</v>
      </c>
      <c r="G198" s="2">
        <v>67186.12</v>
      </c>
      <c r="H198" s="2">
        <v>130556.41</v>
      </c>
      <c r="I198" s="2">
        <f>historical_actuals3[[#This Row],[gross_profit]]-historical_actuals3[[#This Row],[labour_cost]]-historical_actuals3[[#This Row],[operating_expenses]]</f>
        <v>125406.47</v>
      </c>
      <c r="J198" s="3">
        <f>IFERROR(historical_actuals3[[#This Row],[operating_profit]]/historical_actuals3[[#This Row],[net_sales]],0)</f>
        <v>7.9066826305323426E-2</v>
      </c>
    </row>
    <row r="199" spans="1:10" x14ac:dyDescent="0.3">
      <c r="A199" t="s">
        <v>39</v>
      </c>
      <c r="B199" t="s">
        <v>14</v>
      </c>
      <c r="C199" s="2">
        <v>1475540</v>
      </c>
      <c r="D199" s="2">
        <v>1204287</v>
      </c>
      <c r="E199" s="2">
        <f>historical_actuals3[[#This Row],[net_sales]]-historical_actuals3[[#This Row],[cogs]]</f>
        <v>271253</v>
      </c>
      <c r="F199" s="3">
        <f>IFERROR(historical_actuals3[[#This Row],[gross_profit]]/historical_actuals3[[#This Row],[net_sales]],0)</f>
        <v>0.18383303739647858</v>
      </c>
      <c r="G199" s="2">
        <v>69442.850000000006</v>
      </c>
      <c r="H199" s="2">
        <v>116847.34</v>
      </c>
      <c r="I199" s="2">
        <f>historical_actuals3[[#This Row],[gross_profit]]-historical_actuals3[[#This Row],[labour_cost]]-historical_actuals3[[#This Row],[operating_expenses]]</f>
        <v>84962.81</v>
      </c>
      <c r="J199" s="3">
        <f>IFERROR(historical_actuals3[[#This Row],[operating_profit]]/historical_actuals3[[#This Row],[net_sales]],0)</f>
        <v>5.7580824647247786E-2</v>
      </c>
    </row>
    <row r="200" spans="1:10" x14ac:dyDescent="0.3">
      <c r="A200" t="s">
        <v>39</v>
      </c>
      <c r="B200" t="s">
        <v>15</v>
      </c>
      <c r="C200" s="2">
        <v>1501115</v>
      </c>
      <c r="D200" s="2">
        <v>1183912</v>
      </c>
      <c r="E200" s="2">
        <f>historical_actuals3[[#This Row],[net_sales]]-historical_actuals3[[#This Row],[cogs]]</f>
        <v>317203</v>
      </c>
      <c r="F200" s="3">
        <f>IFERROR(historical_actuals3[[#This Row],[gross_profit]]/historical_actuals3[[#This Row],[net_sales]],0)</f>
        <v>0.21131159171682382</v>
      </c>
      <c r="G200" s="2">
        <v>66114.039999999994</v>
      </c>
      <c r="H200" s="2">
        <v>110576.01</v>
      </c>
      <c r="I200" s="2">
        <f>historical_actuals3[[#This Row],[gross_profit]]-historical_actuals3[[#This Row],[labour_cost]]-historical_actuals3[[#This Row],[operating_expenses]]</f>
        <v>140512.95000000001</v>
      </c>
      <c r="J200" s="3">
        <f>IFERROR(historical_actuals3[[#This Row],[operating_profit]]/historical_actuals3[[#This Row],[net_sales]],0)</f>
        <v>9.3605719748320423E-2</v>
      </c>
    </row>
    <row r="201" spans="1:10" x14ac:dyDescent="0.3">
      <c r="A201" t="s">
        <v>39</v>
      </c>
      <c r="B201" t="s">
        <v>16</v>
      </c>
      <c r="C201" s="2">
        <v>1358496</v>
      </c>
      <c r="D201" s="2">
        <v>1058748</v>
      </c>
      <c r="E201" s="2">
        <f>historical_actuals3[[#This Row],[net_sales]]-historical_actuals3[[#This Row],[cogs]]</f>
        <v>299748</v>
      </c>
      <c r="F201" s="3">
        <f>IFERROR(historical_actuals3[[#This Row],[gross_profit]]/historical_actuals3[[#This Row],[net_sales]],0)</f>
        <v>0.22064695074553034</v>
      </c>
      <c r="G201" s="2">
        <v>64883.08</v>
      </c>
      <c r="H201" s="2">
        <v>116101.99</v>
      </c>
      <c r="I201" s="2">
        <f>historical_actuals3[[#This Row],[gross_profit]]-historical_actuals3[[#This Row],[labour_cost]]-historical_actuals3[[#This Row],[operating_expenses]]</f>
        <v>118762.92999999998</v>
      </c>
      <c r="J201" s="3">
        <f>IFERROR(historical_actuals3[[#This Row],[operating_profit]]/historical_actuals3[[#This Row],[net_sales]],0)</f>
        <v>8.7422362671660411E-2</v>
      </c>
    </row>
    <row r="202" spans="1:10" x14ac:dyDescent="0.3">
      <c r="A202" t="s">
        <v>39</v>
      </c>
      <c r="B202" t="s">
        <v>17</v>
      </c>
      <c r="C202" s="2">
        <v>1571663</v>
      </c>
      <c r="D202" s="2">
        <v>1224849</v>
      </c>
      <c r="E202" s="2">
        <f>historical_actuals3[[#This Row],[net_sales]]-historical_actuals3[[#This Row],[cogs]]</f>
        <v>346814</v>
      </c>
      <c r="F202" s="3">
        <f>IFERROR(historical_actuals3[[#This Row],[gross_profit]]/historical_actuals3[[#This Row],[net_sales]],0)</f>
        <v>0.22066689869265868</v>
      </c>
      <c r="G202" s="2">
        <v>66837.27</v>
      </c>
      <c r="H202" s="2">
        <v>119179.94</v>
      </c>
      <c r="I202" s="2">
        <f>historical_actuals3[[#This Row],[gross_profit]]-historical_actuals3[[#This Row],[labour_cost]]-historical_actuals3[[#This Row],[operating_expenses]]</f>
        <v>160796.78999999998</v>
      </c>
      <c r="J202" s="3">
        <f>IFERROR(historical_actuals3[[#This Row],[operating_profit]]/historical_actuals3[[#This Row],[net_sales]],0)</f>
        <v>0.10230996721307302</v>
      </c>
    </row>
    <row r="203" spans="1:10" x14ac:dyDescent="0.3">
      <c r="A203" t="s">
        <v>39</v>
      </c>
      <c r="B203" t="s">
        <v>18</v>
      </c>
      <c r="C203" s="2">
        <v>1462313</v>
      </c>
      <c r="D203" s="2">
        <v>1167080</v>
      </c>
      <c r="E203" s="2">
        <f>historical_actuals3[[#This Row],[net_sales]]-historical_actuals3[[#This Row],[cogs]]</f>
        <v>295233</v>
      </c>
      <c r="F203" s="3">
        <f>IFERROR(historical_actuals3[[#This Row],[gross_profit]]/historical_actuals3[[#This Row],[net_sales]],0)</f>
        <v>0.20189453283941264</v>
      </c>
      <c r="G203" s="2">
        <v>68575.06</v>
      </c>
      <c r="H203" s="2">
        <v>126349.8</v>
      </c>
      <c r="I203" s="2">
        <f>historical_actuals3[[#This Row],[gross_profit]]-historical_actuals3[[#This Row],[labour_cost]]-historical_actuals3[[#This Row],[operating_expenses]]</f>
        <v>100308.14</v>
      </c>
      <c r="J203" s="3">
        <f>IFERROR(historical_actuals3[[#This Row],[operating_profit]]/historical_actuals3[[#This Row],[net_sales]],0)</f>
        <v>6.859553324083148E-2</v>
      </c>
    </row>
    <row r="204" spans="1:10" x14ac:dyDescent="0.3">
      <c r="A204" t="s">
        <v>39</v>
      </c>
      <c r="B204" t="s">
        <v>19</v>
      </c>
      <c r="C204" s="2">
        <v>1490334</v>
      </c>
      <c r="D204" s="2">
        <v>1179269</v>
      </c>
      <c r="E204" s="2">
        <f>historical_actuals3[[#This Row],[net_sales]]-historical_actuals3[[#This Row],[cogs]]</f>
        <v>311065</v>
      </c>
      <c r="F204" s="3">
        <f>IFERROR(historical_actuals3[[#This Row],[gross_profit]]/historical_actuals3[[#This Row],[net_sales]],0)</f>
        <v>0.20872166910236228</v>
      </c>
      <c r="G204" s="2">
        <v>67916.67</v>
      </c>
      <c r="H204" s="2">
        <v>115391.31</v>
      </c>
      <c r="I204" s="2">
        <f>historical_actuals3[[#This Row],[gross_profit]]-historical_actuals3[[#This Row],[labour_cost]]-historical_actuals3[[#This Row],[operating_expenses]]</f>
        <v>127757.02000000002</v>
      </c>
      <c r="J204" s="3">
        <f>IFERROR(historical_actuals3[[#This Row],[operating_profit]]/historical_actuals3[[#This Row],[net_sales]],0)</f>
        <v>8.572375051498525E-2</v>
      </c>
    </row>
    <row r="205" spans="1:10" x14ac:dyDescent="0.3">
      <c r="A205" t="s">
        <v>39</v>
      </c>
      <c r="B205" t="s">
        <v>20</v>
      </c>
      <c r="C205" s="2">
        <v>1640360</v>
      </c>
      <c r="D205" s="2">
        <v>1287698</v>
      </c>
      <c r="E205" s="2">
        <f>historical_actuals3[[#This Row],[net_sales]]-historical_actuals3[[#This Row],[cogs]]</f>
        <v>352662</v>
      </c>
      <c r="F205" s="3">
        <f>IFERROR(historical_actuals3[[#This Row],[gross_profit]]/historical_actuals3[[#This Row],[net_sales]],0)</f>
        <v>0.21499061181691823</v>
      </c>
      <c r="G205" s="2">
        <v>64813.77</v>
      </c>
      <c r="H205" s="2">
        <v>133606.51999999999</v>
      </c>
      <c r="I205" s="2">
        <f>historical_actuals3[[#This Row],[gross_profit]]-historical_actuals3[[#This Row],[labour_cost]]-historical_actuals3[[#This Row],[operating_expenses]]</f>
        <v>154241.71</v>
      </c>
      <c r="J205" s="3">
        <f>IFERROR(historical_actuals3[[#This Row],[operating_profit]]/historical_actuals3[[#This Row],[net_sales]],0)</f>
        <v>9.40291826184496E-2</v>
      </c>
    </row>
    <row r="206" spans="1:10" x14ac:dyDescent="0.3">
      <c r="A206" t="s">
        <v>39</v>
      </c>
      <c r="B206" t="s">
        <v>21</v>
      </c>
      <c r="C206" s="2">
        <v>1514031</v>
      </c>
      <c r="D206" s="2">
        <v>1223123</v>
      </c>
      <c r="E206" s="2">
        <f>historical_actuals3[[#This Row],[net_sales]]-historical_actuals3[[#This Row],[cogs]]</f>
        <v>290908</v>
      </c>
      <c r="F206" s="3">
        <f>IFERROR(historical_actuals3[[#This Row],[gross_profit]]/historical_actuals3[[#This Row],[net_sales]],0)</f>
        <v>0.19214137623337962</v>
      </c>
      <c r="G206" s="2">
        <v>68577.75</v>
      </c>
      <c r="H206" s="2">
        <v>123882.97</v>
      </c>
      <c r="I206" s="2">
        <f>historical_actuals3[[#This Row],[gross_profit]]-historical_actuals3[[#This Row],[labour_cost]]-historical_actuals3[[#This Row],[operating_expenses]]</f>
        <v>98447.28</v>
      </c>
      <c r="J206" s="3">
        <f>IFERROR(historical_actuals3[[#This Row],[operating_profit]]/historical_actuals3[[#This Row],[net_sales]],0)</f>
        <v>6.5023292125458459E-2</v>
      </c>
    </row>
    <row r="207" spans="1:10" x14ac:dyDescent="0.3">
      <c r="A207" t="s">
        <v>39</v>
      </c>
      <c r="B207" t="s">
        <v>22</v>
      </c>
      <c r="C207" s="2">
        <v>1466336</v>
      </c>
      <c r="D207" s="2">
        <v>1125673</v>
      </c>
      <c r="E207" s="2">
        <f>historical_actuals3[[#This Row],[net_sales]]-historical_actuals3[[#This Row],[cogs]]</f>
        <v>340663</v>
      </c>
      <c r="F207" s="3">
        <f>IFERROR(historical_actuals3[[#This Row],[gross_profit]]/historical_actuals3[[#This Row],[net_sales]],0)</f>
        <v>0.23232260546014011</v>
      </c>
      <c r="G207" s="2">
        <v>65509.94</v>
      </c>
      <c r="H207" s="2">
        <v>117312.35</v>
      </c>
      <c r="I207" s="2">
        <f>historical_actuals3[[#This Row],[gross_profit]]-historical_actuals3[[#This Row],[labour_cost]]-historical_actuals3[[#This Row],[operating_expenses]]</f>
        <v>157840.71</v>
      </c>
      <c r="J207" s="3">
        <f>IFERROR(historical_actuals3[[#This Row],[operating_profit]]/historical_actuals3[[#This Row],[net_sales]],0)</f>
        <v>0.10764293449795953</v>
      </c>
    </row>
    <row r="208" spans="1:10" x14ac:dyDescent="0.3">
      <c r="A208" t="s">
        <v>39</v>
      </c>
      <c r="B208" t="s">
        <v>23</v>
      </c>
      <c r="C208" s="2">
        <v>1506899</v>
      </c>
      <c r="D208" s="2">
        <v>1179964</v>
      </c>
      <c r="E208" s="2">
        <f>historical_actuals3[[#This Row],[net_sales]]-historical_actuals3[[#This Row],[cogs]]</f>
        <v>326935</v>
      </c>
      <c r="F208" s="3">
        <f>IFERROR(historical_actuals3[[#This Row],[gross_profit]]/historical_actuals3[[#This Row],[net_sales]],0)</f>
        <v>0.21695880082208563</v>
      </c>
      <c r="G208" s="2">
        <v>68329.34</v>
      </c>
      <c r="H208" s="2">
        <v>129377.19</v>
      </c>
      <c r="I208" s="2">
        <f>historical_actuals3[[#This Row],[gross_profit]]-historical_actuals3[[#This Row],[labour_cost]]-historical_actuals3[[#This Row],[operating_expenses]]</f>
        <v>129228.47</v>
      </c>
      <c r="J208" s="3">
        <f>IFERROR(historical_actuals3[[#This Row],[operating_profit]]/historical_actuals3[[#This Row],[net_sales]],0)</f>
        <v>8.5757884237762455E-2</v>
      </c>
    </row>
    <row r="209" spans="1:10" x14ac:dyDescent="0.3">
      <c r="A209" t="s">
        <v>39</v>
      </c>
      <c r="B209" t="s">
        <v>24</v>
      </c>
      <c r="C209" s="2">
        <v>1603321</v>
      </c>
      <c r="D209" s="2">
        <v>1280491</v>
      </c>
      <c r="E209" s="2">
        <f>historical_actuals3[[#This Row],[net_sales]]-historical_actuals3[[#This Row],[cogs]]</f>
        <v>322830</v>
      </c>
      <c r="F209" s="3">
        <f>IFERROR(historical_actuals3[[#This Row],[gross_profit]]/historical_actuals3[[#This Row],[net_sales]],0)</f>
        <v>0.20135082120174314</v>
      </c>
      <c r="G209" s="2">
        <v>67041.490000000005</v>
      </c>
      <c r="H209" s="2">
        <v>127990.14</v>
      </c>
      <c r="I209" s="2">
        <f>historical_actuals3[[#This Row],[gross_profit]]-historical_actuals3[[#This Row],[labour_cost]]-historical_actuals3[[#This Row],[operating_expenses]]</f>
        <v>127798.37000000001</v>
      </c>
      <c r="J209" s="3">
        <f>IFERROR(historical_actuals3[[#This Row],[operating_profit]]/historical_actuals3[[#This Row],[net_sales]],0)</f>
        <v>7.9708536219509393E-2</v>
      </c>
    </row>
    <row r="210" spans="1:10" x14ac:dyDescent="0.3">
      <c r="A210" t="s">
        <v>39</v>
      </c>
      <c r="B210" t="s">
        <v>25</v>
      </c>
      <c r="C210" s="2">
        <v>1574813</v>
      </c>
      <c r="D210" s="2">
        <v>1232366</v>
      </c>
      <c r="E210" s="2">
        <f>historical_actuals3[[#This Row],[net_sales]]-historical_actuals3[[#This Row],[cogs]]</f>
        <v>342447</v>
      </c>
      <c r="F210" s="3">
        <f>IFERROR(historical_actuals3[[#This Row],[gross_profit]]/historical_actuals3[[#This Row],[net_sales]],0)</f>
        <v>0.21745248483470736</v>
      </c>
      <c r="G210" s="2">
        <v>15786.44</v>
      </c>
      <c r="H210" s="2">
        <v>29479.31</v>
      </c>
      <c r="I210" s="2">
        <f>historical_actuals3[[#This Row],[gross_profit]]-historical_actuals3[[#This Row],[labour_cost]]-historical_actuals3[[#This Row],[operating_expenses]]</f>
        <v>297181.25</v>
      </c>
      <c r="J210" s="3">
        <f>IFERROR(historical_actuals3[[#This Row],[operating_profit]]/historical_actuals3[[#This Row],[net_sales]],0)</f>
        <v>0.18870891337574683</v>
      </c>
    </row>
    <row r="211" spans="1:10" x14ac:dyDescent="0.3">
      <c r="A211" t="s">
        <v>39</v>
      </c>
      <c r="B211" t="s">
        <v>26</v>
      </c>
      <c r="C211" s="2">
        <v>1741442</v>
      </c>
      <c r="D211" s="2">
        <v>1334232</v>
      </c>
      <c r="E211" s="2">
        <f>historical_actuals3[[#This Row],[net_sales]]-historical_actuals3[[#This Row],[cogs]]</f>
        <v>407210</v>
      </c>
      <c r="F211" s="3">
        <f>IFERROR(historical_actuals3[[#This Row],[gross_profit]]/historical_actuals3[[#This Row],[net_sales]],0)</f>
        <v>0.23383494827849563</v>
      </c>
      <c r="G211" s="2">
        <v>15627.82</v>
      </c>
      <c r="H211" s="2">
        <v>26209.42</v>
      </c>
      <c r="I211" s="2">
        <f>historical_actuals3[[#This Row],[gross_profit]]-historical_actuals3[[#This Row],[labour_cost]]-historical_actuals3[[#This Row],[operating_expenses]]</f>
        <v>365372.76</v>
      </c>
      <c r="J211" s="3">
        <f>IFERROR(historical_actuals3[[#This Row],[operating_profit]]/historical_actuals3[[#This Row],[net_sales]],0)</f>
        <v>0.20981046741723239</v>
      </c>
    </row>
    <row r="212" spans="1:10" x14ac:dyDescent="0.3">
      <c r="A212" t="s">
        <v>39</v>
      </c>
      <c r="B212" t="s">
        <v>27</v>
      </c>
      <c r="C212" s="2">
        <v>1505001</v>
      </c>
      <c r="D212" s="2">
        <v>1184348</v>
      </c>
      <c r="E212" s="2">
        <f>historical_actuals3[[#This Row],[net_sales]]-historical_actuals3[[#This Row],[cogs]]</f>
        <v>320653</v>
      </c>
      <c r="F212" s="3">
        <f>IFERROR(historical_actuals3[[#This Row],[gross_profit]]/historical_actuals3[[#This Row],[net_sales]],0)</f>
        <v>0.21305833019380055</v>
      </c>
      <c r="G212" s="2">
        <v>15627.41</v>
      </c>
      <c r="H212" s="2">
        <v>26659.72</v>
      </c>
      <c r="I212" s="2">
        <f>historical_actuals3[[#This Row],[gross_profit]]-historical_actuals3[[#This Row],[labour_cost]]-historical_actuals3[[#This Row],[operating_expenses]]</f>
        <v>278365.87</v>
      </c>
      <c r="J212" s="3">
        <f>IFERROR(historical_actuals3[[#This Row],[operating_profit]]/historical_actuals3[[#This Row],[net_sales]],0)</f>
        <v>0.18496058806605445</v>
      </c>
    </row>
    <row r="213" spans="1:10" x14ac:dyDescent="0.3">
      <c r="A213" t="s">
        <v>39</v>
      </c>
      <c r="B213" t="s">
        <v>28</v>
      </c>
      <c r="C213" s="2">
        <v>1547358</v>
      </c>
      <c r="D213" s="2">
        <v>1220699</v>
      </c>
      <c r="E213" s="2">
        <f>historical_actuals3[[#This Row],[net_sales]]-historical_actuals3[[#This Row],[cogs]]</f>
        <v>326659</v>
      </c>
      <c r="F213" s="3">
        <f>IFERROR(historical_actuals3[[#This Row],[gross_profit]]/historical_actuals3[[#This Row],[net_sales]],0)</f>
        <v>0.21110757820749948</v>
      </c>
      <c r="G213" s="2">
        <v>15252.21</v>
      </c>
      <c r="H213" s="2">
        <v>30165.27</v>
      </c>
      <c r="I213" s="2">
        <f>historical_actuals3[[#This Row],[gross_profit]]-historical_actuals3[[#This Row],[labour_cost]]-historical_actuals3[[#This Row],[operating_expenses]]</f>
        <v>281241.51999999996</v>
      </c>
      <c r="J213" s="3">
        <f>IFERROR(historical_actuals3[[#This Row],[operating_profit]]/historical_actuals3[[#This Row],[net_sales]],0)</f>
        <v>0.18175594788019317</v>
      </c>
    </row>
    <row r="214" spans="1:10" x14ac:dyDescent="0.3">
      <c r="A214" t="s">
        <v>39</v>
      </c>
      <c r="B214" t="s">
        <v>31</v>
      </c>
      <c r="C214" s="2">
        <v>1643118</v>
      </c>
      <c r="D214" s="2">
        <v>1288046</v>
      </c>
      <c r="E214" s="2">
        <f>historical_actuals3[[#This Row],[net_sales]]-historical_actuals3[[#This Row],[cogs]]</f>
        <v>355072</v>
      </c>
      <c r="F214" s="3">
        <f>IFERROR(historical_actuals3[[#This Row],[gross_profit]]/historical_actuals3[[#This Row],[net_sales]],0)</f>
        <v>0.21609647024741985</v>
      </c>
      <c r="G214" s="2">
        <v>16042.1</v>
      </c>
      <c r="H214" s="2">
        <v>30706.6</v>
      </c>
      <c r="I214" s="2">
        <f>historical_actuals3[[#This Row],[gross_profit]]-historical_actuals3[[#This Row],[labour_cost]]-historical_actuals3[[#This Row],[operating_expenses]]</f>
        <v>308323.30000000005</v>
      </c>
      <c r="J214" s="3">
        <f>IFERROR(historical_actuals3[[#This Row],[operating_profit]]/historical_actuals3[[#This Row],[net_sales]],0)</f>
        <v>0.18764525737043844</v>
      </c>
    </row>
    <row r="215" spans="1:10" x14ac:dyDescent="0.3">
      <c r="A215" t="s">
        <v>39</v>
      </c>
      <c r="B215" t="s">
        <v>37</v>
      </c>
      <c r="C215" s="2">
        <v>3142716</v>
      </c>
      <c r="D215" s="2">
        <v>2479741</v>
      </c>
      <c r="E215" s="2">
        <f>historical_actuals3[[#This Row],[net_sales]]-historical_actuals3[[#This Row],[cogs]]</f>
        <v>662975</v>
      </c>
      <c r="F215" s="3">
        <f>IFERROR(historical_actuals3[[#This Row],[gross_profit]]/historical_actuals3[[#This Row],[net_sales]],0)</f>
        <v>0.21095606475418077</v>
      </c>
      <c r="G215" s="2">
        <v>15107.25</v>
      </c>
      <c r="H215" s="2">
        <v>24949.19</v>
      </c>
      <c r="I215" s="2">
        <f>historical_actuals3[[#This Row],[gross_profit]]-historical_actuals3[[#This Row],[labour_cost]]-historical_actuals3[[#This Row],[operating_expenses]]</f>
        <v>622918.56000000006</v>
      </c>
      <c r="J215" s="3">
        <f>IFERROR(historical_actuals3[[#This Row],[operating_profit]]/historical_actuals3[[#This Row],[net_sales]],0)</f>
        <v>0.19821026144265025</v>
      </c>
    </row>
    <row r="216" spans="1:10" x14ac:dyDescent="0.3">
      <c r="A216" t="s">
        <v>39</v>
      </c>
      <c r="B216" t="s">
        <v>32</v>
      </c>
      <c r="C216" s="2">
        <v>1826333</v>
      </c>
      <c r="D216" s="2">
        <v>1441502</v>
      </c>
      <c r="E216" s="2">
        <f>historical_actuals3[[#This Row],[net_sales]]-historical_actuals3[[#This Row],[cogs]]</f>
        <v>384831</v>
      </c>
      <c r="F216" s="3">
        <f>IFERROR(historical_actuals3[[#This Row],[gross_profit]]/historical_actuals3[[#This Row],[net_sales]],0)</f>
        <v>0.21071239472757705</v>
      </c>
      <c r="G216" s="2">
        <v>15978.7</v>
      </c>
      <c r="H216" s="2">
        <v>29334.43</v>
      </c>
      <c r="I216" s="2">
        <f>historical_actuals3[[#This Row],[gross_profit]]-historical_actuals3[[#This Row],[labour_cost]]-historical_actuals3[[#This Row],[operating_expenses]]</f>
        <v>339517.87</v>
      </c>
      <c r="J216" s="3">
        <f>IFERROR(historical_actuals3[[#This Row],[operating_profit]]/historical_actuals3[[#This Row],[net_sales]],0)</f>
        <v>0.18590140461788732</v>
      </c>
    </row>
    <row r="217" spans="1:10" x14ac:dyDescent="0.3">
      <c r="A217" t="s">
        <v>40</v>
      </c>
      <c r="B217" t="s">
        <v>7</v>
      </c>
      <c r="C217" s="2">
        <v>1610739</v>
      </c>
      <c r="D217" s="2">
        <v>1256567</v>
      </c>
      <c r="E217" s="2">
        <f>historical_actuals3[[#This Row],[net_sales]]-historical_actuals3[[#This Row],[cogs]]</f>
        <v>354172</v>
      </c>
      <c r="F217" s="3">
        <f>IFERROR(historical_actuals3[[#This Row],[gross_profit]]/historical_actuals3[[#This Row],[net_sales]],0)</f>
        <v>0.21988168163805558</v>
      </c>
      <c r="G217" s="2">
        <v>68447.14</v>
      </c>
      <c r="H217" s="2">
        <v>128285.07</v>
      </c>
      <c r="I217" s="2">
        <f>historical_actuals3[[#This Row],[gross_profit]]-historical_actuals3[[#This Row],[labour_cost]]-historical_actuals3[[#This Row],[operating_expenses]]</f>
        <v>157439.78999999998</v>
      </c>
      <c r="J217" s="3">
        <f>IFERROR(historical_actuals3[[#This Row],[operating_profit]]/historical_actuals3[[#This Row],[net_sales]],0)</f>
        <v>9.7743824418481187E-2</v>
      </c>
    </row>
    <row r="218" spans="1:10" x14ac:dyDescent="0.3">
      <c r="A218" t="s">
        <v>40</v>
      </c>
      <c r="B218" t="s">
        <v>8</v>
      </c>
      <c r="C218" s="2">
        <v>1629779</v>
      </c>
      <c r="D218" s="2">
        <v>1262882</v>
      </c>
      <c r="E218" s="2">
        <f>historical_actuals3[[#This Row],[net_sales]]-historical_actuals3[[#This Row],[cogs]]</f>
        <v>366897</v>
      </c>
      <c r="F218" s="3">
        <f>IFERROR(historical_actuals3[[#This Row],[gross_profit]]/historical_actuals3[[#This Row],[net_sales]],0)</f>
        <v>0.22512070654978375</v>
      </c>
      <c r="G218" s="2">
        <v>67956.639999999999</v>
      </c>
      <c r="H218" s="2">
        <v>126887.78</v>
      </c>
      <c r="I218" s="2">
        <f>historical_actuals3[[#This Row],[gross_profit]]-historical_actuals3[[#This Row],[labour_cost]]-historical_actuals3[[#This Row],[operating_expenses]]</f>
        <v>172052.58</v>
      </c>
      <c r="J218" s="3">
        <f>IFERROR(historical_actuals3[[#This Row],[operating_profit]]/historical_actuals3[[#This Row],[net_sales]],0)</f>
        <v>0.10556804327457894</v>
      </c>
    </row>
    <row r="219" spans="1:10" x14ac:dyDescent="0.3">
      <c r="A219" t="s">
        <v>40</v>
      </c>
      <c r="B219" t="s">
        <v>9</v>
      </c>
      <c r="C219" s="2">
        <v>1593926</v>
      </c>
      <c r="D219" s="2">
        <v>1241805</v>
      </c>
      <c r="E219" s="2">
        <f>historical_actuals3[[#This Row],[net_sales]]-historical_actuals3[[#This Row],[cogs]]</f>
        <v>352121</v>
      </c>
      <c r="F219" s="3">
        <f>IFERROR(historical_actuals3[[#This Row],[gross_profit]]/historical_actuals3[[#This Row],[net_sales]],0)</f>
        <v>0.2209142708005265</v>
      </c>
      <c r="G219" s="2">
        <v>68462.53</v>
      </c>
      <c r="H219" s="2">
        <v>134666</v>
      </c>
      <c r="I219" s="2">
        <f>historical_actuals3[[#This Row],[gross_profit]]-historical_actuals3[[#This Row],[labour_cost]]-historical_actuals3[[#This Row],[operating_expenses]]</f>
        <v>148992.46999999997</v>
      </c>
      <c r="J219" s="3">
        <f>IFERROR(historical_actuals3[[#This Row],[operating_profit]]/historical_actuals3[[#This Row],[net_sales]],0)</f>
        <v>9.3475148783569606E-2</v>
      </c>
    </row>
    <row r="220" spans="1:10" x14ac:dyDescent="0.3">
      <c r="A220" t="s">
        <v>40</v>
      </c>
      <c r="B220" t="s">
        <v>10</v>
      </c>
      <c r="C220" s="2">
        <v>1524631</v>
      </c>
      <c r="D220" s="2">
        <v>1200505</v>
      </c>
      <c r="E220" s="2">
        <f>historical_actuals3[[#This Row],[net_sales]]-historical_actuals3[[#This Row],[cogs]]</f>
        <v>324126</v>
      </c>
      <c r="F220" s="3">
        <f>IFERROR(historical_actuals3[[#This Row],[gross_profit]]/historical_actuals3[[#This Row],[net_sales]],0)</f>
        <v>0.21259307989933302</v>
      </c>
      <c r="G220" s="2">
        <v>70415.34</v>
      </c>
      <c r="H220" s="2">
        <v>115551.29</v>
      </c>
      <c r="I220" s="2">
        <f>historical_actuals3[[#This Row],[gross_profit]]-historical_actuals3[[#This Row],[labour_cost]]-historical_actuals3[[#This Row],[operating_expenses]]</f>
        <v>138159.37</v>
      </c>
      <c r="J220" s="3">
        <f>IFERROR(historical_actuals3[[#This Row],[operating_profit]]/historical_actuals3[[#This Row],[net_sales]],0)</f>
        <v>9.0618234838462555E-2</v>
      </c>
    </row>
    <row r="221" spans="1:10" x14ac:dyDescent="0.3">
      <c r="A221" t="s">
        <v>40</v>
      </c>
      <c r="B221" t="s">
        <v>11</v>
      </c>
      <c r="C221" s="2">
        <v>1785680</v>
      </c>
      <c r="D221" s="2">
        <v>1393581</v>
      </c>
      <c r="E221" s="2">
        <f>historical_actuals3[[#This Row],[net_sales]]-historical_actuals3[[#This Row],[cogs]]</f>
        <v>392099</v>
      </c>
      <c r="F221" s="3">
        <f>IFERROR(historical_actuals3[[#This Row],[gross_profit]]/historical_actuals3[[#This Row],[net_sales]],0)</f>
        <v>0.21957965592939385</v>
      </c>
      <c r="G221" s="2">
        <v>69971.8</v>
      </c>
      <c r="H221" s="2">
        <v>119574.87</v>
      </c>
      <c r="I221" s="2">
        <f>historical_actuals3[[#This Row],[gross_profit]]-historical_actuals3[[#This Row],[labour_cost]]-historical_actuals3[[#This Row],[operating_expenses]]</f>
        <v>202552.33000000002</v>
      </c>
      <c r="J221" s="3">
        <f>IFERROR(historical_actuals3[[#This Row],[operating_profit]]/historical_actuals3[[#This Row],[net_sales]],0)</f>
        <v>0.11343148268446755</v>
      </c>
    </row>
    <row r="222" spans="1:10" x14ac:dyDescent="0.3">
      <c r="A222" t="s">
        <v>40</v>
      </c>
      <c r="B222" t="s">
        <v>12</v>
      </c>
      <c r="C222" s="2">
        <v>1562195</v>
      </c>
      <c r="D222" s="2">
        <v>1216176</v>
      </c>
      <c r="E222" s="2">
        <f>historical_actuals3[[#This Row],[net_sales]]-historical_actuals3[[#This Row],[cogs]]</f>
        <v>346019</v>
      </c>
      <c r="F222" s="3">
        <f>IFERROR(historical_actuals3[[#This Row],[gross_profit]]/historical_actuals3[[#This Row],[net_sales]],0)</f>
        <v>0.22149539590127992</v>
      </c>
      <c r="G222" s="2">
        <v>69385.97</v>
      </c>
      <c r="H222" s="2">
        <v>113002.2</v>
      </c>
      <c r="I222" s="2">
        <f>historical_actuals3[[#This Row],[gross_profit]]-historical_actuals3[[#This Row],[labour_cost]]-historical_actuals3[[#This Row],[operating_expenses]]</f>
        <v>163630.83000000002</v>
      </c>
      <c r="J222" s="3">
        <f>IFERROR(historical_actuals3[[#This Row],[operating_profit]]/historical_actuals3[[#This Row],[net_sales]],0)</f>
        <v>0.10474417726340182</v>
      </c>
    </row>
    <row r="223" spans="1:10" x14ac:dyDescent="0.3">
      <c r="A223" t="s">
        <v>40</v>
      </c>
      <c r="B223" t="s">
        <v>13</v>
      </c>
      <c r="C223" s="2">
        <v>1669166</v>
      </c>
      <c r="D223" s="2">
        <v>1280628</v>
      </c>
      <c r="E223" s="2">
        <f>historical_actuals3[[#This Row],[net_sales]]-historical_actuals3[[#This Row],[cogs]]</f>
        <v>388538</v>
      </c>
      <c r="F223" s="3">
        <f>IFERROR(historical_actuals3[[#This Row],[gross_profit]]/historical_actuals3[[#This Row],[net_sales]],0)</f>
        <v>0.23277373251072692</v>
      </c>
      <c r="G223" s="2">
        <v>70193.13</v>
      </c>
      <c r="H223" s="2">
        <v>133616.24</v>
      </c>
      <c r="I223" s="2">
        <f>historical_actuals3[[#This Row],[gross_profit]]-historical_actuals3[[#This Row],[labour_cost]]-historical_actuals3[[#This Row],[operating_expenses]]</f>
        <v>184728.63</v>
      </c>
      <c r="J223" s="3">
        <f>IFERROR(historical_actuals3[[#This Row],[operating_profit]]/historical_actuals3[[#This Row],[net_sales]],0)</f>
        <v>0.1106712154453182</v>
      </c>
    </row>
    <row r="224" spans="1:10" x14ac:dyDescent="0.3">
      <c r="A224" t="s">
        <v>40</v>
      </c>
      <c r="B224" t="s">
        <v>14</v>
      </c>
      <c r="C224" s="2">
        <v>1696266</v>
      </c>
      <c r="D224" s="2">
        <v>1330911</v>
      </c>
      <c r="E224" s="2">
        <f>historical_actuals3[[#This Row],[net_sales]]-historical_actuals3[[#This Row],[cogs]]</f>
        <v>365355</v>
      </c>
      <c r="F224" s="3">
        <f>IFERROR(historical_actuals3[[#This Row],[gross_profit]]/historical_actuals3[[#This Row],[net_sales]],0)</f>
        <v>0.21538779884758641</v>
      </c>
      <c r="G224" s="2">
        <v>69195.62</v>
      </c>
      <c r="H224" s="2">
        <v>116003.16</v>
      </c>
      <c r="I224" s="2">
        <f>historical_actuals3[[#This Row],[gross_profit]]-historical_actuals3[[#This Row],[labour_cost]]-historical_actuals3[[#This Row],[operating_expenses]]</f>
        <v>180156.22</v>
      </c>
      <c r="J224" s="3">
        <f>IFERROR(historical_actuals3[[#This Row],[operating_profit]]/historical_actuals3[[#This Row],[net_sales]],0)</f>
        <v>0.10620752877202043</v>
      </c>
    </row>
    <row r="225" spans="1:10" x14ac:dyDescent="0.3">
      <c r="A225" t="s">
        <v>40</v>
      </c>
      <c r="B225" t="s">
        <v>15</v>
      </c>
      <c r="C225" s="2">
        <v>1496280</v>
      </c>
      <c r="D225" s="2">
        <v>1168514</v>
      </c>
      <c r="E225" s="2">
        <f>historical_actuals3[[#This Row],[net_sales]]-historical_actuals3[[#This Row],[cogs]]</f>
        <v>327766</v>
      </c>
      <c r="F225" s="3">
        <f>IFERROR(historical_actuals3[[#This Row],[gross_profit]]/historical_actuals3[[#This Row],[net_sales]],0)</f>
        <v>0.21905392038923197</v>
      </c>
      <c r="G225" s="2">
        <v>69283.679999999993</v>
      </c>
      <c r="H225" s="2">
        <v>131770.23999999999</v>
      </c>
      <c r="I225" s="2">
        <f>historical_actuals3[[#This Row],[gross_profit]]-historical_actuals3[[#This Row],[labour_cost]]-historical_actuals3[[#This Row],[operating_expenses]]</f>
        <v>126712.08000000002</v>
      </c>
      <c r="J225" s="3">
        <f>IFERROR(historical_actuals3[[#This Row],[operating_profit]]/historical_actuals3[[#This Row],[net_sales]],0)</f>
        <v>8.4684738150613531E-2</v>
      </c>
    </row>
    <row r="226" spans="1:10" x14ac:dyDescent="0.3">
      <c r="A226" t="s">
        <v>40</v>
      </c>
      <c r="B226" t="s">
        <v>16</v>
      </c>
      <c r="C226" s="2">
        <v>1692882</v>
      </c>
      <c r="D226" s="2">
        <v>1326748</v>
      </c>
      <c r="E226" s="2">
        <f>historical_actuals3[[#This Row],[net_sales]]-historical_actuals3[[#This Row],[cogs]]</f>
        <v>366134</v>
      </c>
      <c r="F226" s="3">
        <f>IFERROR(historical_actuals3[[#This Row],[gross_profit]]/historical_actuals3[[#This Row],[net_sales]],0)</f>
        <v>0.21627851202859974</v>
      </c>
      <c r="G226" s="2">
        <v>72393.91</v>
      </c>
      <c r="H226" s="2">
        <v>116722.51</v>
      </c>
      <c r="I226" s="2">
        <f>historical_actuals3[[#This Row],[gross_profit]]-historical_actuals3[[#This Row],[labour_cost]]-historical_actuals3[[#This Row],[operating_expenses]]</f>
        <v>177017.57999999996</v>
      </c>
      <c r="J226" s="3">
        <f>IFERROR(historical_actuals3[[#This Row],[operating_profit]]/historical_actuals3[[#This Row],[net_sales]],0)</f>
        <v>0.10456581143871808</v>
      </c>
    </row>
    <row r="227" spans="1:10" x14ac:dyDescent="0.3">
      <c r="A227" t="s">
        <v>40</v>
      </c>
      <c r="B227" t="s">
        <v>17</v>
      </c>
      <c r="C227" s="2">
        <v>1678999</v>
      </c>
      <c r="D227" s="2">
        <v>1334533</v>
      </c>
      <c r="E227" s="2">
        <f>historical_actuals3[[#This Row],[net_sales]]-historical_actuals3[[#This Row],[cogs]]</f>
        <v>344466</v>
      </c>
      <c r="F227" s="3">
        <f>IFERROR(historical_actuals3[[#This Row],[gross_profit]]/historical_actuals3[[#This Row],[net_sales]],0)</f>
        <v>0.20516152779126134</v>
      </c>
      <c r="G227" s="2">
        <v>69147.81</v>
      </c>
      <c r="H227" s="2">
        <v>134290.32</v>
      </c>
      <c r="I227" s="2">
        <f>historical_actuals3[[#This Row],[gross_profit]]-historical_actuals3[[#This Row],[labour_cost]]-historical_actuals3[[#This Row],[operating_expenses]]</f>
        <v>141027.87</v>
      </c>
      <c r="J227" s="3">
        <f>IFERROR(historical_actuals3[[#This Row],[operating_profit]]/historical_actuals3[[#This Row],[net_sales]],0)</f>
        <v>8.3995207858968343E-2</v>
      </c>
    </row>
    <row r="228" spans="1:10" x14ac:dyDescent="0.3">
      <c r="A228" t="s">
        <v>40</v>
      </c>
      <c r="B228" t="s">
        <v>18</v>
      </c>
      <c r="C228" s="2">
        <v>1560610</v>
      </c>
      <c r="D228" s="2">
        <v>1219524</v>
      </c>
      <c r="E228" s="2">
        <f>historical_actuals3[[#This Row],[net_sales]]-historical_actuals3[[#This Row],[cogs]]</f>
        <v>341086</v>
      </c>
      <c r="F228" s="3">
        <f>IFERROR(historical_actuals3[[#This Row],[gross_profit]]/historical_actuals3[[#This Row],[net_sales]],0)</f>
        <v>0.21855940946168487</v>
      </c>
      <c r="G228" s="2">
        <v>70355.320000000007</v>
      </c>
      <c r="H228" s="2">
        <v>135391.78</v>
      </c>
      <c r="I228" s="2">
        <f>historical_actuals3[[#This Row],[gross_profit]]-historical_actuals3[[#This Row],[labour_cost]]-historical_actuals3[[#This Row],[operating_expenses]]</f>
        <v>135338.9</v>
      </c>
      <c r="J228" s="3">
        <f>IFERROR(historical_actuals3[[#This Row],[operating_profit]]/historical_actuals3[[#This Row],[net_sales]],0)</f>
        <v>8.6721794682848366E-2</v>
      </c>
    </row>
    <row r="229" spans="1:10" x14ac:dyDescent="0.3">
      <c r="A229" t="s">
        <v>40</v>
      </c>
      <c r="B229" t="s">
        <v>19</v>
      </c>
      <c r="C229" s="2">
        <v>1490994</v>
      </c>
      <c r="D229" s="2">
        <v>1202795</v>
      </c>
      <c r="E229" s="2">
        <f>historical_actuals3[[#This Row],[net_sales]]-historical_actuals3[[#This Row],[cogs]]</f>
        <v>288199</v>
      </c>
      <c r="F229" s="3">
        <f>IFERROR(historical_actuals3[[#This Row],[gross_profit]]/historical_actuals3[[#This Row],[net_sales]],0)</f>
        <v>0.19329319903366479</v>
      </c>
      <c r="G229" s="2">
        <v>68153.84</v>
      </c>
      <c r="H229" s="2">
        <v>130757.59</v>
      </c>
      <c r="I229" s="2">
        <f>historical_actuals3[[#This Row],[gross_profit]]-historical_actuals3[[#This Row],[labour_cost]]-historical_actuals3[[#This Row],[operating_expenses]]</f>
        <v>89287.57</v>
      </c>
      <c r="J229" s="3">
        <f>IFERROR(historical_actuals3[[#This Row],[operating_profit]]/historical_actuals3[[#This Row],[net_sales]],0)</f>
        <v>5.9884593767647626E-2</v>
      </c>
    </row>
    <row r="230" spans="1:10" x14ac:dyDescent="0.3">
      <c r="A230" t="s">
        <v>40</v>
      </c>
      <c r="B230" t="s">
        <v>20</v>
      </c>
      <c r="C230" s="2">
        <v>1557414</v>
      </c>
      <c r="D230" s="2">
        <v>1202984</v>
      </c>
      <c r="E230" s="2">
        <f>historical_actuals3[[#This Row],[net_sales]]-historical_actuals3[[#This Row],[cogs]]</f>
        <v>354430</v>
      </c>
      <c r="F230" s="3">
        <f>IFERROR(historical_actuals3[[#This Row],[gross_profit]]/historical_actuals3[[#This Row],[net_sales]],0)</f>
        <v>0.22757596888174886</v>
      </c>
      <c r="G230" s="2">
        <v>71479.89</v>
      </c>
      <c r="H230" s="2">
        <v>124982.47</v>
      </c>
      <c r="I230" s="2">
        <f>historical_actuals3[[#This Row],[gross_profit]]-historical_actuals3[[#This Row],[labour_cost]]-historical_actuals3[[#This Row],[operating_expenses]]</f>
        <v>157967.63999999998</v>
      </c>
      <c r="J230" s="3">
        <f>IFERROR(historical_actuals3[[#This Row],[operating_profit]]/historical_actuals3[[#This Row],[net_sales]],0)</f>
        <v>0.10142944650555343</v>
      </c>
    </row>
    <row r="231" spans="1:10" x14ac:dyDescent="0.3">
      <c r="A231" t="s">
        <v>40</v>
      </c>
      <c r="B231" t="s">
        <v>21</v>
      </c>
      <c r="C231" s="2">
        <v>1485481</v>
      </c>
      <c r="D231" s="2">
        <v>1149249</v>
      </c>
      <c r="E231" s="2">
        <f>historical_actuals3[[#This Row],[net_sales]]-historical_actuals3[[#This Row],[cogs]]</f>
        <v>336232</v>
      </c>
      <c r="F231" s="3">
        <f>IFERROR(historical_actuals3[[#This Row],[gross_profit]]/historical_actuals3[[#This Row],[net_sales]],0)</f>
        <v>0.22634554060267348</v>
      </c>
      <c r="G231" s="2">
        <v>68209.75</v>
      </c>
      <c r="H231" s="2">
        <v>131595.67000000001</v>
      </c>
      <c r="I231" s="2">
        <f>historical_actuals3[[#This Row],[gross_profit]]-historical_actuals3[[#This Row],[labour_cost]]-historical_actuals3[[#This Row],[operating_expenses]]</f>
        <v>136426.57999999999</v>
      </c>
      <c r="J231" s="3">
        <f>IFERROR(historical_actuals3[[#This Row],[operating_profit]]/historical_actuals3[[#This Row],[net_sales]],0)</f>
        <v>9.1840003338985815E-2</v>
      </c>
    </row>
    <row r="232" spans="1:10" x14ac:dyDescent="0.3">
      <c r="A232" t="s">
        <v>40</v>
      </c>
      <c r="B232" t="s">
        <v>22</v>
      </c>
      <c r="C232" s="2">
        <v>1592393</v>
      </c>
      <c r="D232" s="2">
        <v>1240774</v>
      </c>
      <c r="E232" s="2">
        <f>historical_actuals3[[#This Row],[net_sales]]-historical_actuals3[[#This Row],[cogs]]</f>
        <v>351619</v>
      </c>
      <c r="F232" s="3">
        <f>IFERROR(historical_actuals3[[#This Row],[gross_profit]]/historical_actuals3[[#This Row],[net_sales]],0)</f>
        <v>0.2208116966100705</v>
      </c>
      <c r="G232" s="2">
        <v>68978.73</v>
      </c>
      <c r="H232" s="2">
        <v>113504.42</v>
      </c>
      <c r="I232" s="2">
        <f>historical_actuals3[[#This Row],[gross_profit]]-historical_actuals3[[#This Row],[labour_cost]]-historical_actuals3[[#This Row],[operating_expenses]]</f>
        <v>169135.85000000003</v>
      </c>
      <c r="J232" s="3">
        <f>IFERROR(historical_actuals3[[#This Row],[operating_profit]]/historical_actuals3[[#This Row],[net_sales]],0)</f>
        <v>0.10621489167561025</v>
      </c>
    </row>
    <row r="233" spans="1:10" x14ac:dyDescent="0.3">
      <c r="A233" t="s">
        <v>40</v>
      </c>
      <c r="B233" t="s">
        <v>23</v>
      </c>
      <c r="C233" s="2">
        <v>1691266</v>
      </c>
      <c r="D233" s="2">
        <v>1311077</v>
      </c>
      <c r="E233" s="2">
        <f>historical_actuals3[[#This Row],[net_sales]]-historical_actuals3[[#This Row],[cogs]]</f>
        <v>380189</v>
      </c>
      <c r="F233" s="3">
        <f>IFERROR(historical_actuals3[[#This Row],[gross_profit]]/historical_actuals3[[#This Row],[net_sales]],0)</f>
        <v>0.22479550821692151</v>
      </c>
      <c r="G233" s="2">
        <v>69141.53</v>
      </c>
      <c r="H233" s="2">
        <v>115260.87</v>
      </c>
      <c r="I233" s="2">
        <f>historical_actuals3[[#This Row],[gross_profit]]-historical_actuals3[[#This Row],[labour_cost]]-historical_actuals3[[#This Row],[operating_expenses]]</f>
        <v>195786.59999999998</v>
      </c>
      <c r="J233" s="3">
        <f>IFERROR(historical_actuals3[[#This Row],[operating_profit]]/historical_actuals3[[#This Row],[net_sales]],0)</f>
        <v>0.11576333941556205</v>
      </c>
    </row>
    <row r="234" spans="1:10" x14ac:dyDescent="0.3">
      <c r="A234" t="s">
        <v>40</v>
      </c>
      <c r="B234" t="s">
        <v>24</v>
      </c>
      <c r="C234" s="2">
        <v>1692670</v>
      </c>
      <c r="D234" s="2">
        <v>1317718</v>
      </c>
      <c r="E234" s="2">
        <f>historical_actuals3[[#This Row],[net_sales]]-historical_actuals3[[#This Row],[cogs]]</f>
        <v>374952</v>
      </c>
      <c r="F234" s="3">
        <f>IFERROR(historical_actuals3[[#This Row],[gross_profit]]/historical_actuals3[[#This Row],[net_sales]],0)</f>
        <v>0.22151512108089585</v>
      </c>
      <c r="G234" s="2">
        <v>68823.289999999994</v>
      </c>
      <c r="H234" s="2">
        <v>136782.9</v>
      </c>
      <c r="I234" s="2">
        <f>historical_actuals3[[#This Row],[gross_profit]]-historical_actuals3[[#This Row],[labour_cost]]-historical_actuals3[[#This Row],[operating_expenses]]</f>
        <v>169345.81000000003</v>
      </c>
      <c r="J234" s="3">
        <f>IFERROR(historical_actuals3[[#This Row],[operating_profit]]/historical_actuals3[[#This Row],[net_sales]],0)</f>
        <v>0.1000465595774723</v>
      </c>
    </row>
    <row r="235" spans="1:10" x14ac:dyDescent="0.3">
      <c r="A235" t="s">
        <v>40</v>
      </c>
      <c r="B235" t="s">
        <v>25</v>
      </c>
      <c r="C235" s="2">
        <v>1501622</v>
      </c>
      <c r="D235" s="2">
        <v>1201571</v>
      </c>
      <c r="E235" s="2">
        <f>historical_actuals3[[#This Row],[net_sales]]-historical_actuals3[[#This Row],[cogs]]</f>
        <v>300051</v>
      </c>
      <c r="F235" s="3">
        <f>IFERROR(historical_actuals3[[#This Row],[gross_profit]]/historical_actuals3[[#This Row],[net_sales]],0)</f>
        <v>0.19981793021146466</v>
      </c>
      <c r="G235" s="2">
        <v>16782.27</v>
      </c>
      <c r="H235" s="2">
        <v>28494.49</v>
      </c>
      <c r="I235" s="2">
        <f>historical_actuals3[[#This Row],[gross_profit]]-historical_actuals3[[#This Row],[labour_cost]]-historical_actuals3[[#This Row],[operating_expenses]]</f>
        <v>254774.24</v>
      </c>
      <c r="J235" s="3">
        <f>IFERROR(historical_actuals3[[#This Row],[operating_profit]]/historical_actuals3[[#This Row],[net_sales]],0)</f>
        <v>0.16966602780193682</v>
      </c>
    </row>
    <row r="236" spans="1:10" x14ac:dyDescent="0.3">
      <c r="A236" t="s">
        <v>40</v>
      </c>
      <c r="B236" t="s">
        <v>26</v>
      </c>
      <c r="C236" s="2">
        <v>1574672</v>
      </c>
      <c r="D236" s="2">
        <v>1234540</v>
      </c>
      <c r="E236" s="2">
        <f>historical_actuals3[[#This Row],[net_sales]]-historical_actuals3[[#This Row],[cogs]]</f>
        <v>340132</v>
      </c>
      <c r="F236" s="3">
        <f>IFERROR(historical_actuals3[[#This Row],[gross_profit]]/historical_actuals3[[#This Row],[net_sales]],0)</f>
        <v>0.21600180863062277</v>
      </c>
      <c r="G236" s="2">
        <v>15855.96</v>
      </c>
      <c r="H236" s="2">
        <v>29043.45</v>
      </c>
      <c r="I236" s="2">
        <f>historical_actuals3[[#This Row],[gross_profit]]-historical_actuals3[[#This Row],[labour_cost]]-historical_actuals3[[#This Row],[operating_expenses]]</f>
        <v>295232.58999999997</v>
      </c>
      <c r="J236" s="3">
        <f>IFERROR(historical_actuals3[[#This Row],[operating_profit]]/historical_actuals3[[#This Row],[net_sales]],0)</f>
        <v>0.18748830867634655</v>
      </c>
    </row>
    <row r="237" spans="1:10" x14ac:dyDescent="0.3">
      <c r="A237" t="s">
        <v>40</v>
      </c>
      <c r="B237" t="s">
        <v>27</v>
      </c>
      <c r="C237" s="2">
        <v>1562069</v>
      </c>
      <c r="D237" s="2">
        <v>1232906</v>
      </c>
      <c r="E237" s="2">
        <f>historical_actuals3[[#This Row],[net_sales]]-historical_actuals3[[#This Row],[cogs]]</f>
        <v>329163</v>
      </c>
      <c r="F237" s="3">
        <f>IFERROR(historical_actuals3[[#This Row],[gross_profit]]/historical_actuals3[[#This Row],[net_sales]],0)</f>
        <v>0.2107224456794162</v>
      </c>
      <c r="G237" s="2">
        <v>15938.23</v>
      </c>
      <c r="H237" s="2">
        <v>29432.29</v>
      </c>
      <c r="I237" s="2">
        <f>historical_actuals3[[#This Row],[gross_profit]]-historical_actuals3[[#This Row],[labour_cost]]-historical_actuals3[[#This Row],[operating_expenses]]</f>
        <v>283792.48000000004</v>
      </c>
      <c r="J237" s="3">
        <f>IFERROR(historical_actuals3[[#This Row],[operating_profit]]/historical_actuals3[[#This Row],[net_sales]],0)</f>
        <v>0.18167730106672628</v>
      </c>
    </row>
    <row r="238" spans="1:10" x14ac:dyDescent="0.3">
      <c r="A238" t="s">
        <v>40</v>
      </c>
      <c r="B238" t="s">
        <v>28</v>
      </c>
      <c r="C238" s="2">
        <v>1725032</v>
      </c>
      <c r="D238" s="2">
        <v>1346581</v>
      </c>
      <c r="E238" s="2">
        <f>historical_actuals3[[#This Row],[net_sales]]-historical_actuals3[[#This Row],[cogs]]</f>
        <v>378451</v>
      </c>
      <c r="F238" s="3">
        <f>IFERROR(historical_actuals3[[#This Row],[gross_profit]]/historical_actuals3[[#This Row],[net_sales]],0)</f>
        <v>0.21938781425503992</v>
      </c>
      <c r="G238" s="2">
        <v>16377.86</v>
      </c>
      <c r="H238" s="2">
        <v>28600.39</v>
      </c>
      <c r="I238" s="2">
        <f>historical_actuals3[[#This Row],[gross_profit]]-historical_actuals3[[#This Row],[labour_cost]]-historical_actuals3[[#This Row],[operating_expenses]]</f>
        <v>333472.75</v>
      </c>
      <c r="J238" s="3">
        <f>IFERROR(historical_actuals3[[#This Row],[operating_profit]]/historical_actuals3[[#This Row],[net_sales]],0)</f>
        <v>0.19331395011802679</v>
      </c>
    </row>
    <row r="239" spans="1:10" x14ac:dyDescent="0.3">
      <c r="A239" t="s">
        <v>40</v>
      </c>
      <c r="B239" t="s">
        <v>31</v>
      </c>
      <c r="C239" s="2">
        <v>1949542</v>
      </c>
      <c r="D239" s="2">
        <v>1520494</v>
      </c>
      <c r="E239" s="2">
        <f>historical_actuals3[[#This Row],[net_sales]]-historical_actuals3[[#This Row],[cogs]]</f>
        <v>429048</v>
      </c>
      <c r="F239" s="3">
        <f>IFERROR(historical_actuals3[[#This Row],[gross_profit]]/historical_actuals3[[#This Row],[net_sales]],0)</f>
        <v>0.2200763051014033</v>
      </c>
      <c r="G239" s="2">
        <v>15543.82</v>
      </c>
      <c r="H239" s="2">
        <v>31159.93</v>
      </c>
      <c r="I239" s="2">
        <f>historical_actuals3[[#This Row],[gross_profit]]-historical_actuals3[[#This Row],[labour_cost]]-historical_actuals3[[#This Row],[operating_expenses]]</f>
        <v>382344.25</v>
      </c>
      <c r="J239" s="3">
        <f>IFERROR(historical_actuals3[[#This Row],[operating_profit]]/historical_actuals3[[#This Row],[net_sales]],0)</f>
        <v>0.1961200374241745</v>
      </c>
    </row>
    <row r="240" spans="1:10" x14ac:dyDescent="0.3">
      <c r="A240" t="s">
        <v>40</v>
      </c>
      <c r="B240" t="s">
        <v>37</v>
      </c>
      <c r="C240" s="2">
        <v>3536369</v>
      </c>
      <c r="D240" s="2">
        <v>2741904</v>
      </c>
      <c r="E240" s="2">
        <f>historical_actuals3[[#This Row],[net_sales]]-historical_actuals3[[#This Row],[cogs]]</f>
        <v>794465</v>
      </c>
      <c r="F240" s="3">
        <f>IFERROR(historical_actuals3[[#This Row],[gross_profit]]/historical_actuals3[[#This Row],[net_sales]],0)</f>
        <v>0.22465557185915835</v>
      </c>
      <c r="G240" s="2">
        <v>17129.759999999998</v>
      </c>
      <c r="H240" s="2">
        <v>31145.119999999999</v>
      </c>
      <c r="I240" s="2">
        <f>historical_actuals3[[#This Row],[gross_profit]]-historical_actuals3[[#This Row],[labour_cost]]-historical_actuals3[[#This Row],[operating_expenses]]</f>
        <v>746190.12</v>
      </c>
      <c r="J240" s="3">
        <f>IFERROR(historical_actuals3[[#This Row],[operating_profit]]/historical_actuals3[[#This Row],[net_sales]],0)</f>
        <v>0.21100459821924691</v>
      </c>
    </row>
    <row r="241" spans="1:10" x14ac:dyDescent="0.3">
      <c r="A241" t="s">
        <v>40</v>
      </c>
      <c r="B241" t="s">
        <v>32</v>
      </c>
      <c r="C241" s="2">
        <v>1778364</v>
      </c>
      <c r="D241" s="2">
        <v>1392863</v>
      </c>
      <c r="E241" s="2">
        <f>historical_actuals3[[#This Row],[net_sales]]-historical_actuals3[[#This Row],[cogs]]</f>
        <v>385501</v>
      </c>
      <c r="F241" s="3">
        <f>IFERROR(historical_actuals3[[#This Row],[gross_profit]]/historical_actuals3[[#This Row],[net_sales]],0)</f>
        <v>0.21677283165876052</v>
      </c>
      <c r="G241" s="2">
        <v>16219.17</v>
      </c>
      <c r="H241" s="2">
        <v>28136.41</v>
      </c>
      <c r="I241" s="2">
        <f>historical_actuals3[[#This Row],[gross_profit]]-historical_actuals3[[#This Row],[labour_cost]]-historical_actuals3[[#This Row],[operating_expenses]]</f>
        <v>341145.42000000004</v>
      </c>
      <c r="J241" s="3">
        <f>IFERROR(historical_actuals3[[#This Row],[operating_profit]]/historical_actuals3[[#This Row],[net_sales]],0)</f>
        <v>0.1918310424637476</v>
      </c>
    </row>
    <row r="242" spans="1:10" x14ac:dyDescent="0.3">
      <c r="A242" t="s">
        <v>41</v>
      </c>
      <c r="B242" t="s">
        <v>7</v>
      </c>
      <c r="C242" s="2">
        <v>1510534</v>
      </c>
      <c r="D242" s="2">
        <v>1186388</v>
      </c>
      <c r="E242" s="2">
        <f>historical_actuals3[[#This Row],[net_sales]]-historical_actuals3[[#This Row],[cogs]]</f>
        <v>324146</v>
      </c>
      <c r="F242" s="3">
        <f>IFERROR(historical_actuals3[[#This Row],[gross_profit]]/historical_actuals3[[#This Row],[net_sales]],0)</f>
        <v>0.21459033692720589</v>
      </c>
      <c r="G242" s="2">
        <v>68758.67</v>
      </c>
      <c r="H242" s="2">
        <v>120468.56</v>
      </c>
      <c r="I242" s="2">
        <f>historical_actuals3[[#This Row],[gross_profit]]-historical_actuals3[[#This Row],[labour_cost]]-historical_actuals3[[#This Row],[operating_expenses]]</f>
        <v>134918.77000000002</v>
      </c>
      <c r="J242" s="3">
        <f>IFERROR(historical_actuals3[[#This Row],[operating_profit]]/historical_actuals3[[#This Row],[net_sales]],0)</f>
        <v>8.9318591968138433E-2</v>
      </c>
    </row>
    <row r="243" spans="1:10" x14ac:dyDescent="0.3">
      <c r="A243" t="s">
        <v>41</v>
      </c>
      <c r="B243" t="s">
        <v>8</v>
      </c>
      <c r="C243" s="2">
        <v>1514717</v>
      </c>
      <c r="D243" s="2">
        <v>1166936</v>
      </c>
      <c r="E243" s="2">
        <f>historical_actuals3[[#This Row],[net_sales]]-historical_actuals3[[#This Row],[cogs]]</f>
        <v>347781</v>
      </c>
      <c r="F243" s="3">
        <f>IFERROR(historical_actuals3[[#This Row],[gross_profit]]/historical_actuals3[[#This Row],[net_sales]],0)</f>
        <v>0.22960130506226575</v>
      </c>
      <c r="G243" s="2">
        <v>67005.179999999993</v>
      </c>
      <c r="H243" s="2">
        <v>129853.61</v>
      </c>
      <c r="I243" s="2">
        <f>historical_actuals3[[#This Row],[gross_profit]]-historical_actuals3[[#This Row],[labour_cost]]-historical_actuals3[[#This Row],[operating_expenses]]</f>
        <v>150922.21000000002</v>
      </c>
      <c r="J243" s="3">
        <f>IFERROR(historical_actuals3[[#This Row],[operating_profit]]/historical_actuals3[[#This Row],[net_sales]],0)</f>
        <v>9.9637232565555164E-2</v>
      </c>
    </row>
    <row r="244" spans="1:10" x14ac:dyDescent="0.3">
      <c r="A244" t="s">
        <v>41</v>
      </c>
      <c r="B244" t="s">
        <v>9</v>
      </c>
      <c r="C244" s="2">
        <v>1675060</v>
      </c>
      <c r="D244" s="2">
        <v>1322891</v>
      </c>
      <c r="E244" s="2">
        <f>historical_actuals3[[#This Row],[net_sales]]-historical_actuals3[[#This Row],[cogs]]</f>
        <v>352169</v>
      </c>
      <c r="F244" s="3">
        <f>IFERROR(historical_actuals3[[#This Row],[gross_profit]]/historical_actuals3[[#This Row],[net_sales]],0)</f>
        <v>0.21024261817487136</v>
      </c>
      <c r="G244" s="2">
        <v>67942.83</v>
      </c>
      <c r="H244" s="2">
        <v>124456.43</v>
      </c>
      <c r="I244" s="2">
        <f>historical_actuals3[[#This Row],[gross_profit]]-historical_actuals3[[#This Row],[labour_cost]]-historical_actuals3[[#This Row],[operating_expenses]]</f>
        <v>159769.74</v>
      </c>
      <c r="J244" s="3">
        <f>IFERROR(historical_actuals3[[#This Row],[operating_profit]]/historical_actuals3[[#This Row],[net_sales]],0)</f>
        <v>9.5381502752140218E-2</v>
      </c>
    </row>
    <row r="245" spans="1:10" x14ac:dyDescent="0.3">
      <c r="A245" t="s">
        <v>41</v>
      </c>
      <c r="B245" t="s">
        <v>10</v>
      </c>
      <c r="C245" s="2">
        <v>1574094</v>
      </c>
      <c r="D245" s="2">
        <v>1237477</v>
      </c>
      <c r="E245" s="2">
        <f>historical_actuals3[[#This Row],[net_sales]]-historical_actuals3[[#This Row],[cogs]]</f>
        <v>336617</v>
      </c>
      <c r="F245" s="3">
        <f>IFERROR(historical_actuals3[[#This Row],[gross_profit]]/historical_actuals3[[#This Row],[net_sales]],0)</f>
        <v>0.21384809293472945</v>
      </c>
      <c r="G245" s="2">
        <v>69281.679999999993</v>
      </c>
      <c r="H245" s="2">
        <v>116842.41</v>
      </c>
      <c r="I245" s="2">
        <f>historical_actuals3[[#This Row],[gross_profit]]-historical_actuals3[[#This Row],[labour_cost]]-historical_actuals3[[#This Row],[operating_expenses]]</f>
        <v>150492.91</v>
      </c>
      <c r="J245" s="3">
        <f>IFERROR(historical_actuals3[[#This Row],[operating_profit]]/historical_actuals3[[#This Row],[net_sales]],0)</f>
        <v>9.5606050210470278E-2</v>
      </c>
    </row>
    <row r="246" spans="1:10" x14ac:dyDescent="0.3">
      <c r="A246" t="s">
        <v>41</v>
      </c>
      <c r="B246" t="s">
        <v>11</v>
      </c>
      <c r="C246" s="2">
        <v>1438976</v>
      </c>
      <c r="D246" s="2">
        <v>1130365</v>
      </c>
      <c r="E246" s="2">
        <f>historical_actuals3[[#This Row],[net_sales]]-historical_actuals3[[#This Row],[cogs]]</f>
        <v>308611</v>
      </c>
      <c r="F246" s="3">
        <f>IFERROR(historical_actuals3[[#This Row],[gross_profit]]/historical_actuals3[[#This Row],[net_sales]],0)</f>
        <v>0.21446570338907667</v>
      </c>
      <c r="G246" s="2">
        <v>68539.91</v>
      </c>
      <c r="H246" s="2">
        <v>115256.04</v>
      </c>
      <c r="I246" s="2">
        <f>historical_actuals3[[#This Row],[gross_profit]]-historical_actuals3[[#This Row],[labour_cost]]-historical_actuals3[[#This Row],[operating_expenses]]</f>
        <v>124815.05</v>
      </c>
      <c r="J246" s="3">
        <f>IFERROR(historical_actuals3[[#This Row],[operating_profit]]/historical_actuals3[[#This Row],[net_sales]],0)</f>
        <v>8.6738798979274154E-2</v>
      </c>
    </row>
    <row r="247" spans="1:10" x14ac:dyDescent="0.3">
      <c r="A247" t="s">
        <v>41</v>
      </c>
      <c r="B247" t="s">
        <v>12</v>
      </c>
      <c r="C247" s="2">
        <v>1492347</v>
      </c>
      <c r="D247" s="2">
        <v>1172275</v>
      </c>
      <c r="E247" s="2">
        <f>historical_actuals3[[#This Row],[net_sales]]-historical_actuals3[[#This Row],[cogs]]</f>
        <v>320072</v>
      </c>
      <c r="F247" s="3">
        <f>IFERROR(historical_actuals3[[#This Row],[gross_profit]]/historical_actuals3[[#This Row],[net_sales]],0)</f>
        <v>0.21447558778219811</v>
      </c>
      <c r="G247" s="2">
        <v>67098.78</v>
      </c>
      <c r="H247" s="2">
        <v>121079.67999999999</v>
      </c>
      <c r="I247" s="2">
        <f>historical_actuals3[[#This Row],[gross_profit]]-historical_actuals3[[#This Row],[labour_cost]]-historical_actuals3[[#This Row],[operating_expenses]]</f>
        <v>131893.54</v>
      </c>
      <c r="J247" s="3">
        <f>IFERROR(historical_actuals3[[#This Row],[operating_profit]]/historical_actuals3[[#This Row],[net_sales]],0)</f>
        <v>8.8379941126293021E-2</v>
      </c>
    </row>
    <row r="248" spans="1:10" x14ac:dyDescent="0.3">
      <c r="A248" t="s">
        <v>41</v>
      </c>
      <c r="B248" t="s">
        <v>13</v>
      </c>
      <c r="C248" s="2">
        <v>1631250</v>
      </c>
      <c r="D248" s="2">
        <v>1291763</v>
      </c>
      <c r="E248" s="2">
        <f>historical_actuals3[[#This Row],[net_sales]]-historical_actuals3[[#This Row],[cogs]]</f>
        <v>339487</v>
      </c>
      <c r="F248" s="3">
        <f>IFERROR(historical_actuals3[[#This Row],[gross_profit]]/historical_actuals3[[#This Row],[net_sales]],0)</f>
        <v>0.20811463601532568</v>
      </c>
      <c r="G248" s="2">
        <v>66992.7</v>
      </c>
      <c r="H248" s="2">
        <v>139714.57999999999</v>
      </c>
      <c r="I248" s="2">
        <f>historical_actuals3[[#This Row],[gross_profit]]-historical_actuals3[[#This Row],[labour_cost]]-historical_actuals3[[#This Row],[operating_expenses]]</f>
        <v>132779.72</v>
      </c>
      <c r="J248" s="3">
        <f>IFERROR(historical_actuals3[[#This Row],[operating_profit]]/historical_actuals3[[#This Row],[net_sales]],0)</f>
        <v>8.1397529501915714E-2</v>
      </c>
    </row>
    <row r="249" spans="1:10" x14ac:dyDescent="0.3">
      <c r="A249" t="s">
        <v>41</v>
      </c>
      <c r="B249" t="s">
        <v>14</v>
      </c>
      <c r="C249" s="2">
        <v>1625249</v>
      </c>
      <c r="D249" s="2">
        <v>1277633</v>
      </c>
      <c r="E249" s="2">
        <f>historical_actuals3[[#This Row],[net_sales]]-historical_actuals3[[#This Row],[cogs]]</f>
        <v>347616</v>
      </c>
      <c r="F249" s="3">
        <f>IFERROR(historical_actuals3[[#This Row],[gross_profit]]/historical_actuals3[[#This Row],[net_sales]],0)</f>
        <v>0.21388476473451146</v>
      </c>
      <c r="G249" s="2">
        <v>70424.149999999994</v>
      </c>
      <c r="H249" s="2">
        <v>121910.17</v>
      </c>
      <c r="I249" s="2">
        <f>historical_actuals3[[#This Row],[gross_profit]]-historical_actuals3[[#This Row],[labour_cost]]-historical_actuals3[[#This Row],[operating_expenses]]</f>
        <v>155281.68</v>
      </c>
      <c r="J249" s="3">
        <f>IFERROR(historical_actuals3[[#This Row],[operating_profit]]/historical_actuals3[[#This Row],[net_sales]],0)</f>
        <v>9.5543316747156895E-2</v>
      </c>
    </row>
    <row r="250" spans="1:10" x14ac:dyDescent="0.3">
      <c r="A250" t="s">
        <v>41</v>
      </c>
      <c r="B250" t="s">
        <v>15</v>
      </c>
      <c r="C250" s="2">
        <v>1524755</v>
      </c>
      <c r="D250" s="2">
        <v>1176741</v>
      </c>
      <c r="E250" s="2">
        <f>historical_actuals3[[#This Row],[net_sales]]-historical_actuals3[[#This Row],[cogs]]</f>
        <v>348014</v>
      </c>
      <c r="F250" s="3">
        <f>IFERROR(historical_actuals3[[#This Row],[gross_profit]]/historical_actuals3[[#This Row],[net_sales]],0)</f>
        <v>0.2282425701178222</v>
      </c>
      <c r="G250" s="2">
        <v>68882.990000000005</v>
      </c>
      <c r="H250" s="2">
        <v>134571.35999999999</v>
      </c>
      <c r="I250" s="2">
        <f>historical_actuals3[[#This Row],[gross_profit]]-historical_actuals3[[#This Row],[labour_cost]]-historical_actuals3[[#This Row],[operating_expenses]]</f>
        <v>144559.65000000002</v>
      </c>
      <c r="J250" s="3">
        <f>IFERROR(historical_actuals3[[#This Row],[operating_profit]]/historical_actuals3[[#This Row],[net_sales]],0)</f>
        <v>9.4808444635367667E-2</v>
      </c>
    </row>
    <row r="251" spans="1:10" x14ac:dyDescent="0.3">
      <c r="A251" t="s">
        <v>41</v>
      </c>
      <c r="B251" t="s">
        <v>16</v>
      </c>
      <c r="C251" s="2">
        <v>1750515</v>
      </c>
      <c r="D251" s="2">
        <v>1368751</v>
      </c>
      <c r="E251" s="2">
        <f>historical_actuals3[[#This Row],[net_sales]]-historical_actuals3[[#This Row],[cogs]]</f>
        <v>381764</v>
      </c>
      <c r="F251" s="3">
        <f>IFERROR(historical_actuals3[[#This Row],[gross_profit]]/historical_actuals3[[#This Row],[net_sales]],0)</f>
        <v>0.21808667734923723</v>
      </c>
      <c r="G251" s="2">
        <v>66984.479999999996</v>
      </c>
      <c r="H251" s="2">
        <v>120570.45</v>
      </c>
      <c r="I251" s="2">
        <f>historical_actuals3[[#This Row],[gross_profit]]-historical_actuals3[[#This Row],[labour_cost]]-historical_actuals3[[#This Row],[operating_expenses]]</f>
        <v>194209.07</v>
      </c>
      <c r="J251" s="3">
        <f>IFERROR(historical_actuals3[[#This Row],[operating_profit]]/historical_actuals3[[#This Row],[net_sales]],0)</f>
        <v>0.11094396220540813</v>
      </c>
    </row>
    <row r="252" spans="1:10" x14ac:dyDescent="0.3">
      <c r="A252" t="s">
        <v>41</v>
      </c>
      <c r="B252" t="s">
        <v>17</v>
      </c>
      <c r="C252" s="2">
        <v>1518520</v>
      </c>
      <c r="D252" s="2">
        <v>1209070</v>
      </c>
      <c r="E252" s="2">
        <f>historical_actuals3[[#This Row],[net_sales]]-historical_actuals3[[#This Row],[cogs]]</f>
        <v>309450</v>
      </c>
      <c r="F252" s="3">
        <f>IFERROR(historical_actuals3[[#This Row],[gross_profit]]/historical_actuals3[[#This Row],[net_sales]],0)</f>
        <v>0.20378394752785606</v>
      </c>
      <c r="G252" s="2">
        <v>66437.83</v>
      </c>
      <c r="H252" s="2">
        <v>118942.24</v>
      </c>
      <c r="I252" s="2">
        <f>historical_actuals3[[#This Row],[gross_profit]]-historical_actuals3[[#This Row],[labour_cost]]-historical_actuals3[[#This Row],[operating_expenses]]</f>
        <v>124069.92999999998</v>
      </c>
      <c r="J252" s="3">
        <f>IFERROR(historical_actuals3[[#This Row],[operating_profit]]/historical_actuals3[[#This Row],[net_sales]],0)</f>
        <v>8.1704508337065024E-2</v>
      </c>
    </row>
    <row r="253" spans="1:10" x14ac:dyDescent="0.3">
      <c r="A253" t="s">
        <v>41</v>
      </c>
      <c r="B253" t="s">
        <v>18</v>
      </c>
      <c r="C253" s="2">
        <v>1630726</v>
      </c>
      <c r="D253" s="2">
        <v>1298415</v>
      </c>
      <c r="E253" s="2">
        <f>historical_actuals3[[#This Row],[net_sales]]-historical_actuals3[[#This Row],[cogs]]</f>
        <v>332311</v>
      </c>
      <c r="F253" s="3">
        <f>IFERROR(historical_actuals3[[#This Row],[gross_profit]]/historical_actuals3[[#This Row],[net_sales]],0)</f>
        <v>0.20378101532691575</v>
      </c>
      <c r="G253" s="2">
        <v>67376.39</v>
      </c>
      <c r="H253" s="2">
        <v>118754.96</v>
      </c>
      <c r="I253" s="2">
        <f>historical_actuals3[[#This Row],[gross_profit]]-historical_actuals3[[#This Row],[labour_cost]]-historical_actuals3[[#This Row],[operating_expenses]]</f>
        <v>146179.64999999997</v>
      </c>
      <c r="J253" s="3">
        <f>IFERROR(historical_actuals3[[#This Row],[operating_profit]]/historical_actuals3[[#This Row],[net_sales]],0)</f>
        <v>8.9640840950594991E-2</v>
      </c>
    </row>
    <row r="254" spans="1:10" x14ac:dyDescent="0.3">
      <c r="A254" t="s">
        <v>41</v>
      </c>
      <c r="B254" t="s">
        <v>19</v>
      </c>
      <c r="C254" s="2">
        <v>1579021</v>
      </c>
      <c r="D254" s="2">
        <v>1228302</v>
      </c>
      <c r="E254" s="2">
        <f>historical_actuals3[[#This Row],[net_sales]]-historical_actuals3[[#This Row],[cogs]]</f>
        <v>350719</v>
      </c>
      <c r="F254" s="3">
        <f>IFERROR(historical_actuals3[[#This Row],[gross_profit]]/historical_actuals3[[#This Row],[net_sales]],0)</f>
        <v>0.22211167552553132</v>
      </c>
      <c r="G254" s="2">
        <v>68244.33</v>
      </c>
      <c r="H254" s="2">
        <v>127957.09</v>
      </c>
      <c r="I254" s="2">
        <f>historical_actuals3[[#This Row],[gross_profit]]-historical_actuals3[[#This Row],[labour_cost]]-historical_actuals3[[#This Row],[operating_expenses]]</f>
        <v>154517.57999999999</v>
      </c>
      <c r="J254" s="3">
        <f>IFERROR(historical_actuals3[[#This Row],[operating_profit]]/historical_actuals3[[#This Row],[net_sales]],0)</f>
        <v>9.7856570621923322E-2</v>
      </c>
    </row>
    <row r="255" spans="1:10" x14ac:dyDescent="0.3">
      <c r="A255" t="s">
        <v>41</v>
      </c>
      <c r="B255" t="s">
        <v>20</v>
      </c>
      <c r="C255" s="2">
        <v>1743753</v>
      </c>
      <c r="D255" s="2">
        <v>1368349</v>
      </c>
      <c r="E255" s="2">
        <f>historical_actuals3[[#This Row],[net_sales]]-historical_actuals3[[#This Row],[cogs]]</f>
        <v>375404</v>
      </c>
      <c r="F255" s="3">
        <f>IFERROR(historical_actuals3[[#This Row],[gross_profit]]/historical_actuals3[[#This Row],[net_sales]],0)</f>
        <v>0.21528507764574456</v>
      </c>
      <c r="G255" s="2">
        <v>69649.86</v>
      </c>
      <c r="H255" s="2">
        <v>113275.57</v>
      </c>
      <c r="I255" s="2">
        <f>historical_actuals3[[#This Row],[gross_profit]]-historical_actuals3[[#This Row],[labour_cost]]-historical_actuals3[[#This Row],[operating_expenses]]</f>
        <v>192478.57</v>
      </c>
      <c r="J255" s="3">
        <f>IFERROR(historical_actuals3[[#This Row],[operating_profit]]/historical_actuals3[[#This Row],[net_sales]],0)</f>
        <v>0.11038178572309267</v>
      </c>
    </row>
    <row r="256" spans="1:10" x14ac:dyDescent="0.3">
      <c r="A256" t="s">
        <v>41</v>
      </c>
      <c r="B256" t="s">
        <v>21</v>
      </c>
      <c r="C256" s="2">
        <v>1643316</v>
      </c>
      <c r="D256" s="2">
        <v>1270224</v>
      </c>
      <c r="E256" s="2">
        <f>historical_actuals3[[#This Row],[net_sales]]-historical_actuals3[[#This Row],[cogs]]</f>
        <v>373092</v>
      </c>
      <c r="F256" s="3">
        <f>IFERROR(historical_actuals3[[#This Row],[gross_profit]]/historical_actuals3[[#This Row],[net_sales]],0)</f>
        <v>0.22703606610049437</v>
      </c>
      <c r="G256" s="2">
        <v>68391.740000000005</v>
      </c>
      <c r="H256" s="2">
        <v>119185.18</v>
      </c>
      <c r="I256" s="2">
        <f>historical_actuals3[[#This Row],[gross_profit]]-historical_actuals3[[#This Row],[labour_cost]]-historical_actuals3[[#This Row],[operating_expenses]]</f>
        <v>185515.08000000002</v>
      </c>
      <c r="J256" s="3">
        <f>IFERROR(historical_actuals3[[#This Row],[operating_profit]]/historical_actuals3[[#This Row],[net_sales]],0)</f>
        <v>0.11289069174766145</v>
      </c>
    </row>
    <row r="257" spans="1:10" x14ac:dyDescent="0.3">
      <c r="A257" t="s">
        <v>41</v>
      </c>
      <c r="B257" t="s">
        <v>22</v>
      </c>
      <c r="C257" s="2">
        <v>1558102</v>
      </c>
      <c r="D257" s="2">
        <v>1245941</v>
      </c>
      <c r="E257" s="2">
        <f>historical_actuals3[[#This Row],[net_sales]]-historical_actuals3[[#This Row],[cogs]]</f>
        <v>312161</v>
      </c>
      <c r="F257" s="3">
        <f>IFERROR(historical_actuals3[[#This Row],[gross_profit]]/historical_actuals3[[#This Row],[net_sales]],0)</f>
        <v>0.20034696059693138</v>
      </c>
      <c r="G257" s="2">
        <v>68086.679999999993</v>
      </c>
      <c r="H257" s="2">
        <v>129612.88</v>
      </c>
      <c r="I257" s="2">
        <f>historical_actuals3[[#This Row],[gross_profit]]-historical_actuals3[[#This Row],[labour_cost]]-historical_actuals3[[#This Row],[operating_expenses]]</f>
        <v>114461.44</v>
      </c>
      <c r="J257" s="3">
        <f>IFERROR(historical_actuals3[[#This Row],[operating_profit]]/historical_actuals3[[#This Row],[net_sales]],0)</f>
        <v>7.3462096833198348E-2</v>
      </c>
    </row>
    <row r="258" spans="1:10" x14ac:dyDescent="0.3">
      <c r="A258" t="s">
        <v>41</v>
      </c>
      <c r="B258" t="s">
        <v>23</v>
      </c>
      <c r="C258" s="2">
        <v>1587634</v>
      </c>
      <c r="D258" s="2">
        <v>1234897</v>
      </c>
      <c r="E258" s="2">
        <f>historical_actuals3[[#This Row],[net_sales]]-historical_actuals3[[#This Row],[cogs]]</f>
        <v>352737</v>
      </c>
      <c r="F258" s="3">
        <f>IFERROR(historical_actuals3[[#This Row],[gross_profit]]/historical_actuals3[[#This Row],[net_sales]],0)</f>
        <v>0.2221777815289922</v>
      </c>
      <c r="G258" s="2">
        <v>69207.58</v>
      </c>
      <c r="H258" s="2">
        <v>129460.21</v>
      </c>
      <c r="I258" s="2">
        <f>historical_actuals3[[#This Row],[gross_profit]]-historical_actuals3[[#This Row],[labour_cost]]-historical_actuals3[[#This Row],[operating_expenses]]</f>
        <v>154069.20999999996</v>
      </c>
      <c r="J258" s="3">
        <f>IFERROR(historical_actuals3[[#This Row],[operating_profit]]/historical_actuals3[[#This Row],[net_sales]],0)</f>
        <v>9.7043279496407842E-2</v>
      </c>
    </row>
    <row r="259" spans="1:10" x14ac:dyDescent="0.3">
      <c r="A259" t="s">
        <v>41</v>
      </c>
      <c r="B259" t="s">
        <v>24</v>
      </c>
      <c r="C259" s="2">
        <v>1643272</v>
      </c>
      <c r="D259" s="2">
        <v>1305094</v>
      </c>
      <c r="E259" s="2">
        <f>historical_actuals3[[#This Row],[net_sales]]-historical_actuals3[[#This Row],[cogs]]</f>
        <v>338178</v>
      </c>
      <c r="F259" s="3">
        <f>IFERROR(historical_actuals3[[#This Row],[gross_profit]]/historical_actuals3[[#This Row],[net_sales]],0)</f>
        <v>0.2057955104206729</v>
      </c>
      <c r="G259" s="2">
        <v>67067.17</v>
      </c>
      <c r="H259" s="2">
        <v>123554.72</v>
      </c>
      <c r="I259" s="2">
        <f>historical_actuals3[[#This Row],[gross_profit]]-historical_actuals3[[#This Row],[labour_cost]]-historical_actuals3[[#This Row],[operating_expenses]]</f>
        <v>147556.11000000002</v>
      </c>
      <c r="J259" s="3">
        <f>IFERROR(historical_actuals3[[#This Row],[operating_profit]]/historical_actuals3[[#This Row],[net_sales]],0)</f>
        <v>8.9794087649518781E-2</v>
      </c>
    </row>
    <row r="260" spans="1:10" x14ac:dyDescent="0.3">
      <c r="A260" t="s">
        <v>41</v>
      </c>
      <c r="B260" t="s">
        <v>25</v>
      </c>
      <c r="C260" s="2">
        <v>1508570</v>
      </c>
      <c r="D260" s="2">
        <v>1214392</v>
      </c>
      <c r="E260" s="2">
        <f>historical_actuals3[[#This Row],[net_sales]]-historical_actuals3[[#This Row],[cogs]]</f>
        <v>294178</v>
      </c>
      <c r="F260" s="3">
        <f>IFERROR(historical_actuals3[[#This Row],[gross_profit]]/historical_actuals3[[#This Row],[net_sales]],0)</f>
        <v>0.19500454072399689</v>
      </c>
      <c r="G260" s="2">
        <v>15985.73</v>
      </c>
      <c r="H260" s="2">
        <v>25159.119999999999</v>
      </c>
      <c r="I260" s="2">
        <f>historical_actuals3[[#This Row],[gross_profit]]-historical_actuals3[[#This Row],[labour_cost]]-historical_actuals3[[#This Row],[operating_expenses]]</f>
        <v>253033.15000000002</v>
      </c>
      <c r="J260" s="3">
        <f>IFERROR(historical_actuals3[[#This Row],[operating_profit]]/historical_actuals3[[#This Row],[net_sales]],0)</f>
        <v>0.16773046660082067</v>
      </c>
    </row>
    <row r="261" spans="1:10" x14ac:dyDescent="0.3">
      <c r="A261" t="s">
        <v>41</v>
      </c>
      <c r="B261" t="s">
        <v>26</v>
      </c>
      <c r="C261" s="2">
        <v>1544509</v>
      </c>
      <c r="D261" s="2">
        <v>1226704</v>
      </c>
      <c r="E261" s="2">
        <f>historical_actuals3[[#This Row],[net_sales]]-historical_actuals3[[#This Row],[cogs]]</f>
        <v>317805</v>
      </c>
      <c r="F261" s="3">
        <f>IFERROR(historical_actuals3[[#This Row],[gross_profit]]/historical_actuals3[[#This Row],[net_sales]],0)</f>
        <v>0.20576442092600303</v>
      </c>
      <c r="G261" s="2">
        <v>15137.64</v>
      </c>
      <c r="H261" s="2">
        <v>25427.63</v>
      </c>
      <c r="I261" s="2">
        <f>historical_actuals3[[#This Row],[gross_profit]]-historical_actuals3[[#This Row],[labour_cost]]-historical_actuals3[[#This Row],[operating_expenses]]</f>
        <v>277239.73</v>
      </c>
      <c r="J261" s="3">
        <f>IFERROR(historical_actuals3[[#This Row],[operating_profit]]/historical_actuals3[[#This Row],[net_sales]],0)</f>
        <v>0.17950023599732989</v>
      </c>
    </row>
    <row r="262" spans="1:10" x14ac:dyDescent="0.3">
      <c r="A262" t="s">
        <v>41</v>
      </c>
      <c r="B262" t="s">
        <v>27</v>
      </c>
      <c r="C262" s="2">
        <v>1767701</v>
      </c>
      <c r="D262" s="2">
        <v>1387537</v>
      </c>
      <c r="E262" s="2">
        <f>historical_actuals3[[#This Row],[net_sales]]-historical_actuals3[[#This Row],[cogs]]</f>
        <v>380164</v>
      </c>
      <c r="F262" s="3">
        <f>IFERROR(historical_actuals3[[#This Row],[gross_profit]]/historical_actuals3[[#This Row],[net_sales]],0)</f>
        <v>0.21506125753167532</v>
      </c>
      <c r="G262" s="2">
        <v>15632.72</v>
      </c>
      <c r="H262" s="2">
        <v>25180.81</v>
      </c>
      <c r="I262" s="2">
        <f>historical_actuals3[[#This Row],[gross_profit]]-historical_actuals3[[#This Row],[labour_cost]]-historical_actuals3[[#This Row],[operating_expenses]]</f>
        <v>339350.47000000003</v>
      </c>
      <c r="J262" s="3">
        <f>IFERROR(historical_actuals3[[#This Row],[operating_profit]]/historical_actuals3[[#This Row],[net_sales]],0)</f>
        <v>0.19197277707033036</v>
      </c>
    </row>
    <row r="263" spans="1:10" x14ac:dyDescent="0.3">
      <c r="A263" t="s">
        <v>41</v>
      </c>
      <c r="B263" t="s">
        <v>28</v>
      </c>
      <c r="C263" s="2">
        <v>1471104</v>
      </c>
      <c r="D263" s="2">
        <v>1167663</v>
      </c>
      <c r="E263" s="2">
        <f>historical_actuals3[[#This Row],[net_sales]]-historical_actuals3[[#This Row],[cogs]]</f>
        <v>303441</v>
      </c>
      <c r="F263" s="3">
        <f>IFERROR(historical_actuals3[[#This Row],[gross_profit]]/historical_actuals3[[#This Row],[net_sales]],0)</f>
        <v>0.20626753784912555</v>
      </c>
      <c r="G263" s="2">
        <v>16053.37</v>
      </c>
      <c r="H263" s="2">
        <v>27284.95</v>
      </c>
      <c r="I263" s="2">
        <f>historical_actuals3[[#This Row],[gross_profit]]-historical_actuals3[[#This Row],[labour_cost]]-historical_actuals3[[#This Row],[operating_expenses]]</f>
        <v>260102.68</v>
      </c>
      <c r="J263" s="3">
        <f>IFERROR(historical_actuals3[[#This Row],[operating_profit]]/historical_actuals3[[#This Row],[net_sales]],0)</f>
        <v>0.17680781236404769</v>
      </c>
    </row>
    <row r="264" spans="1:10" x14ac:dyDescent="0.3">
      <c r="A264" t="s">
        <v>41</v>
      </c>
      <c r="B264" t="s">
        <v>31</v>
      </c>
      <c r="C264" s="2">
        <v>1773164</v>
      </c>
      <c r="D264" s="2">
        <v>1380125</v>
      </c>
      <c r="E264" s="2">
        <f>historical_actuals3[[#This Row],[net_sales]]-historical_actuals3[[#This Row],[cogs]]</f>
        <v>393039</v>
      </c>
      <c r="F264" s="3">
        <f>IFERROR(historical_actuals3[[#This Row],[gross_profit]]/historical_actuals3[[#This Row],[net_sales]],0)</f>
        <v>0.22165969983599937</v>
      </c>
      <c r="G264" s="2">
        <v>16289.79</v>
      </c>
      <c r="H264" s="2">
        <v>26061.17</v>
      </c>
      <c r="I264" s="2">
        <f>historical_actuals3[[#This Row],[gross_profit]]-historical_actuals3[[#This Row],[labour_cost]]-historical_actuals3[[#This Row],[operating_expenses]]</f>
        <v>350688.04000000004</v>
      </c>
      <c r="J264" s="3">
        <f>IFERROR(historical_actuals3[[#This Row],[operating_profit]]/historical_actuals3[[#This Row],[net_sales]],0)</f>
        <v>0.19777529884432576</v>
      </c>
    </row>
    <row r="265" spans="1:10" x14ac:dyDescent="0.3">
      <c r="A265" t="s">
        <v>41</v>
      </c>
      <c r="B265" t="s">
        <v>37</v>
      </c>
      <c r="C265" s="2">
        <v>3149646</v>
      </c>
      <c r="D265" s="2">
        <v>2463405</v>
      </c>
      <c r="E265" s="2">
        <f>historical_actuals3[[#This Row],[net_sales]]-historical_actuals3[[#This Row],[cogs]]</f>
        <v>686241</v>
      </c>
      <c r="F265" s="3">
        <f>IFERROR(historical_actuals3[[#This Row],[gross_profit]]/historical_actuals3[[#This Row],[net_sales]],0)</f>
        <v>0.21787877113808982</v>
      </c>
      <c r="G265" s="2">
        <v>16031.28</v>
      </c>
      <c r="H265" s="2">
        <v>26031</v>
      </c>
      <c r="I265" s="2">
        <f>historical_actuals3[[#This Row],[gross_profit]]-historical_actuals3[[#This Row],[labour_cost]]-historical_actuals3[[#This Row],[operating_expenses]]</f>
        <v>644178.72</v>
      </c>
      <c r="J265" s="3">
        <f>IFERROR(historical_actuals3[[#This Row],[operating_profit]]/historical_actuals3[[#This Row],[net_sales]],0)</f>
        <v>0.20452416557289294</v>
      </c>
    </row>
    <row r="266" spans="1:10" x14ac:dyDescent="0.3">
      <c r="A266" t="s">
        <v>41</v>
      </c>
      <c r="B266" t="s">
        <v>32</v>
      </c>
      <c r="C266" s="2">
        <v>1824696</v>
      </c>
      <c r="D266" s="2">
        <v>1424571</v>
      </c>
      <c r="E266" s="2">
        <f>historical_actuals3[[#This Row],[net_sales]]-historical_actuals3[[#This Row],[cogs]]</f>
        <v>400125</v>
      </c>
      <c r="F266" s="3">
        <f>IFERROR(historical_actuals3[[#This Row],[gross_profit]]/historical_actuals3[[#This Row],[net_sales]],0)</f>
        <v>0.2192831025003617</v>
      </c>
      <c r="G266" s="2">
        <v>16315.32</v>
      </c>
      <c r="H266" s="2">
        <v>30572.38</v>
      </c>
      <c r="I266" s="2">
        <f>historical_actuals3[[#This Row],[gross_profit]]-historical_actuals3[[#This Row],[labour_cost]]-historical_actuals3[[#This Row],[operating_expenses]]</f>
        <v>353237.3</v>
      </c>
      <c r="J266" s="3">
        <f>IFERROR(historical_actuals3[[#This Row],[operating_profit]]/historical_actuals3[[#This Row],[net_sales]],0)</f>
        <v>0.19358693174095848</v>
      </c>
    </row>
    <row r="267" spans="1:10" x14ac:dyDescent="0.3">
      <c r="A267" t="s">
        <v>42</v>
      </c>
      <c r="B267" t="s">
        <v>7</v>
      </c>
      <c r="C267" s="2">
        <v>1561951</v>
      </c>
      <c r="D267" s="2">
        <v>1200219</v>
      </c>
      <c r="E267" s="2">
        <f>historical_actuals3[[#This Row],[net_sales]]-historical_actuals3[[#This Row],[cogs]]</f>
        <v>361732</v>
      </c>
      <c r="F267" s="3">
        <f>IFERROR(historical_actuals3[[#This Row],[gross_profit]]/historical_actuals3[[#This Row],[net_sales]],0)</f>
        <v>0.23158985141019148</v>
      </c>
      <c r="G267" s="2">
        <v>67579.58</v>
      </c>
      <c r="H267" s="2">
        <v>123819.36</v>
      </c>
      <c r="I267" s="2">
        <f>historical_actuals3[[#This Row],[gross_profit]]-historical_actuals3[[#This Row],[labour_cost]]-historical_actuals3[[#This Row],[operating_expenses]]</f>
        <v>170333.06</v>
      </c>
      <c r="J267" s="3">
        <f>IFERROR(historical_actuals3[[#This Row],[operating_profit]]/historical_actuals3[[#This Row],[net_sales]],0)</f>
        <v>0.10905147472615978</v>
      </c>
    </row>
    <row r="268" spans="1:10" x14ac:dyDescent="0.3">
      <c r="A268" t="s">
        <v>42</v>
      </c>
      <c r="B268" t="s">
        <v>8</v>
      </c>
      <c r="C268" s="2">
        <v>1648311</v>
      </c>
      <c r="D268" s="2">
        <v>1292279</v>
      </c>
      <c r="E268" s="2">
        <f>historical_actuals3[[#This Row],[net_sales]]-historical_actuals3[[#This Row],[cogs]]</f>
        <v>356032</v>
      </c>
      <c r="F268" s="3">
        <f>IFERROR(historical_actuals3[[#This Row],[gross_profit]]/historical_actuals3[[#This Row],[net_sales]],0)</f>
        <v>0.21599807317915126</v>
      </c>
      <c r="G268" s="2">
        <v>68594.070000000007</v>
      </c>
      <c r="H268" s="2">
        <v>119070.97</v>
      </c>
      <c r="I268" s="2">
        <f>historical_actuals3[[#This Row],[gross_profit]]-historical_actuals3[[#This Row],[labour_cost]]-historical_actuals3[[#This Row],[operating_expenses]]</f>
        <v>168366.96</v>
      </c>
      <c r="J268" s="3">
        <f>IFERROR(historical_actuals3[[#This Row],[operating_profit]]/historical_actuals3[[#This Row],[net_sales]],0)</f>
        <v>0.10214514129918444</v>
      </c>
    </row>
    <row r="269" spans="1:10" x14ac:dyDescent="0.3">
      <c r="A269" t="s">
        <v>42</v>
      </c>
      <c r="B269" t="s">
        <v>9</v>
      </c>
      <c r="C269" s="2">
        <v>1665628</v>
      </c>
      <c r="D269" s="2">
        <v>1304330</v>
      </c>
      <c r="E269" s="2">
        <f>historical_actuals3[[#This Row],[net_sales]]-historical_actuals3[[#This Row],[cogs]]</f>
        <v>361298</v>
      </c>
      <c r="F269" s="3">
        <f>IFERROR(historical_actuals3[[#This Row],[gross_profit]]/historical_actuals3[[#This Row],[net_sales]],0)</f>
        <v>0.21691398079283009</v>
      </c>
      <c r="G269" s="2">
        <v>70049.009999999995</v>
      </c>
      <c r="H269" s="2">
        <v>116966.07</v>
      </c>
      <c r="I269" s="2">
        <f>historical_actuals3[[#This Row],[gross_profit]]-historical_actuals3[[#This Row],[labour_cost]]-historical_actuals3[[#This Row],[operating_expenses]]</f>
        <v>174282.91999999998</v>
      </c>
      <c r="J269" s="3">
        <f>IFERROR(historical_actuals3[[#This Row],[operating_profit]]/historical_actuals3[[#This Row],[net_sales]],0)</f>
        <v>0.1046349605073882</v>
      </c>
    </row>
    <row r="270" spans="1:10" x14ac:dyDescent="0.3">
      <c r="A270" t="s">
        <v>42</v>
      </c>
      <c r="B270" t="s">
        <v>10</v>
      </c>
      <c r="C270" s="2">
        <v>1661728</v>
      </c>
      <c r="D270" s="2">
        <v>1261513</v>
      </c>
      <c r="E270" s="2">
        <f>historical_actuals3[[#This Row],[net_sales]]-historical_actuals3[[#This Row],[cogs]]</f>
        <v>400215</v>
      </c>
      <c r="F270" s="3">
        <f>IFERROR(historical_actuals3[[#This Row],[gross_profit]]/historical_actuals3[[#This Row],[net_sales]],0)</f>
        <v>0.24084266498488321</v>
      </c>
      <c r="G270" s="2">
        <v>68091.53</v>
      </c>
      <c r="H270" s="2">
        <v>129026.83</v>
      </c>
      <c r="I270" s="2">
        <f>historical_actuals3[[#This Row],[gross_profit]]-historical_actuals3[[#This Row],[labour_cost]]-historical_actuals3[[#This Row],[operating_expenses]]</f>
        <v>203096.63999999996</v>
      </c>
      <c r="J270" s="3">
        <f>IFERROR(historical_actuals3[[#This Row],[operating_profit]]/historical_actuals3[[#This Row],[net_sales]],0)</f>
        <v>0.12222014673881644</v>
      </c>
    </row>
    <row r="271" spans="1:10" x14ac:dyDescent="0.3">
      <c r="A271" t="s">
        <v>42</v>
      </c>
      <c r="B271" t="s">
        <v>11</v>
      </c>
      <c r="C271" s="2">
        <v>1593261</v>
      </c>
      <c r="D271" s="2">
        <v>1208629</v>
      </c>
      <c r="E271" s="2">
        <f>historical_actuals3[[#This Row],[net_sales]]-historical_actuals3[[#This Row],[cogs]]</f>
        <v>384632</v>
      </c>
      <c r="F271" s="3">
        <f>IFERROR(historical_actuals3[[#This Row],[gross_profit]]/historical_actuals3[[#This Row],[net_sales]],0)</f>
        <v>0.24141179630958143</v>
      </c>
      <c r="G271" s="2">
        <v>69060.27</v>
      </c>
      <c r="H271" s="2">
        <v>117269.55</v>
      </c>
      <c r="I271" s="2">
        <f>historical_actuals3[[#This Row],[gross_profit]]-historical_actuals3[[#This Row],[labour_cost]]-historical_actuals3[[#This Row],[operating_expenses]]</f>
        <v>198302.18</v>
      </c>
      <c r="J271" s="3">
        <f>IFERROR(historical_actuals3[[#This Row],[operating_profit]]/historical_actuals3[[#This Row],[net_sales]],0)</f>
        <v>0.12446308545806367</v>
      </c>
    </row>
    <row r="272" spans="1:10" x14ac:dyDescent="0.3">
      <c r="A272" t="s">
        <v>42</v>
      </c>
      <c r="B272" t="s">
        <v>12</v>
      </c>
      <c r="C272" s="2">
        <v>1567163</v>
      </c>
      <c r="D272" s="2">
        <v>1191943</v>
      </c>
      <c r="E272" s="2">
        <f>historical_actuals3[[#This Row],[net_sales]]-historical_actuals3[[#This Row],[cogs]]</f>
        <v>375220</v>
      </c>
      <c r="F272" s="3">
        <f>IFERROR(historical_actuals3[[#This Row],[gross_profit]]/historical_actuals3[[#This Row],[net_sales]],0)</f>
        <v>0.23942627537786434</v>
      </c>
      <c r="G272" s="2">
        <v>69383.710000000006</v>
      </c>
      <c r="H272" s="2">
        <v>118069</v>
      </c>
      <c r="I272" s="2">
        <f>historical_actuals3[[#This Row],[gross_profit]]-historical_actuals3[[#This Row],[labour_cost]]-historical_actuals3[[#This Row],[operating_expenses]]</f>
        <v>187767.28999999998</v>
      </c>
      <c r="J272" s="3">
        <f>IFERROR(historical_actuals3[[#This Row],[operating_profit]]/historical_actuals3[[#This Row],[net_sales]],0)</f>
        <v>0.11981350376444568</v>
      </c>
    </row>
    <row r="273" spans="1:10" x14ac:dyDescent="0.3">
      <c r="A273" t="s">
        <v>42</v>
      </c>
      <c r="B273" t="s">
        <v>13</v>
      </c>
      <c r="C273" s="2">
        <v>1650962</v>
      </c>
      <c r="D273" s="2">
        <v>1264362</v>
      </c>
      <c r="E273" s="2">
        <f>historical_actuals3[[#This Row],[net_sales]]-historical_actuals3[[#This Row],[cogs]]</f>
        <v>386600</v>
      </c>
      <c r="F273" s="3">
        <f>IFERROR(historical_actuals3[[#This Row],[gross_profit]]/historical_actuals3[[#This Row],[net_sales]],0)</f>
        <v>0.23416650413516482</v>
      </c>
      <c r="G273" s="2">
        <v>70695.78</v>
      </c>
      <c r="H273" s="2">
        <v>113362.63</v>
      </c>
      <c r="I273" s="2">
        <f>historical_actuals3[[#This Row],[gross_profit]]-historical_actuals3[[#This Row],[labour_cost]]-historical_actuals3[[#This Row],[operating_expenses]]</f>
        <v>202541.58999999997</v>
      </c>
      <c r="J273" s="3">
        <f>IFERROR(historical_actuals3[[#This Row],[operating_profit]]/historical_actuals3[[#This Row],[net_sales]],0)</f>
        <v>0.12268095207521432</v>
      </c>
    </row>
    <row r="274" spans="1:10" x14ac:dyDescent="0.3">
      <c r="A274" t="s">
        <v>42</v>
      </c>
      <c r="B274" t="s">
        <v>14</v>
      </c>
      <c r="C274" s="2">
        <v>1734416</v>
      </c>
      <c r="D274" s="2">
        <v>1320687</v>
      </c>
      <c r="E274" s="2">
        <f>historical_actuals3[[#This Row],[net_sales]]-historical_actuals3[[#This Row],[cogs]]</f>
        <v>413729</v>
      </c>
      <c r="F274" s="3">
        <f>IFERROR(historical_actuals3[[#This Row],[gross_profit]]/historical_actuals3[[#This Row],[net_sales]],0)</f>
        <v>0.23854081143162886</v>
      </c>
      <c r="G274" s="2">
        <v>68468.600000000006</v>
      </c>
      <c r="H274" s="2">
        <v>138996.70000000001</v>
      </c>
      <c r="I274" s="2">
        <f>historical_actuals3[[#This Row],[gross_profit]]-historical_actuals3[[#This Row],[labour_cost]]-historical_actuals3[[#This Row],[operating_expenses]]</f>
        <v>206263.7</v>
      </c>
      <c r="J274" s="3">
        <f>IFERROR(historical_actuals3[[#This Row],[operating_profit]]/historical_actuals3[[#This Row],[net_sales]],0)</f>
        <v>0.1189240066973552</v>
      </c>
    </row>
    <row r="275" spans="1:10" x14ac:dyDescent="0.3">
      <c r="A275" t="s">
        <v>42</v>
      </c>
      <c r="B275" t="s">
        <v>15</v>
      </c>
      <c r="C275" s="2">
        <v>1554238</v>
      </c>
      <c r="D275" s="2">
        <v>1196208</v>
      </c>
      <c r="E275" s="2">
        <f>historical_actuals3[[#This Row],[net_sales]]-historical_actuals3[[#This Row],[cogs]]</f>
        <v>358030</v>
      </c>
      <c r="F275" s="3">
        <f>IFERROR(historical_actuals3[[#This Row],[gross_profit]]/historical_actuals3[[#This Row],[net_sales]],0)</f>
        <v>0.23035725545251112</v>
      </c>
      <c r="G275" s="2">
        <v>68266.039999999994</v>
      </c>
      <c r="H275" s="2">
        <v>114929.57</v>
      </c>
      <c r="I275" s="2">
        <f>historical_actuals3[[#This Row],[gross_profit]]-historical_actuals3[[#This Row],[labour_cost]]-historical_actuals3[[#This Row],[operating_expenses]]</f>
        <v>174834.39</v>
      </c>
      <c r="J275" s="3">
        <f>IFERROR(historical_actuals3[[#This Row],[operating_profit]]/historical_actuals3[[#This Row],[net_sales]],0)</f>
        <v>0.11248881445441433</v>
      </c>
    </row>
    <row r="276" spans="1:10" x14ac:dyDescent="0.3">
      <c r="A276" t="s">
        <v>42</v>
      </c>
      <c r="B276" t="s">
        <v>16</v>
      </c>
      <c r="C276" s="2">
        <v>1747584</v>
      </c>
      <c r="D276" s="2">
        <v>1357459</v>
      </c>
      <c r="E276" s="2">
        <f>historical_actuals3[[#This Row],[net_sales]]-historical_actuals3[[#This Row],[cogs]]</f>
        <v>390125</v>
      </c>
      <c r="F276" s="3">
        <f>IFERROR(historical_actuals3[[#This Row],[gross_profit]]/historical_actuals3[[#This Row],[net_sales]],0)</f>
        <v>0.22323676572914378</v>
      </c>
      <c r="G276" s="2">
        <v>70260.52</v>
      </c>
      <c r="H276" s="2">
        <v>112769.51</v>
      </c>
      <c r="I276" s="2">
        <f>historical_actuals3[[#This Row],[gross_profit]]-historical_actuals3[[#This Row],[labour_cost]]-historical_actuals3[[#This Row],[operating_expenses]]</f>
        <v>207094.96999999997</v>
      </c>
      <c r="J276" s="3">
        <f>IFERROR(historical_actuals3[[#This Row],[operating_profit]]/historical_actuals3[[#This Row],[net_sales]],0)</f>
        <v>0.11850358552149709</v>
      </c>
    </row>
    <row r="277" spans="1:10" x14ac:dyDescent="0.3">
      <c r="A277" t="s">
        <v>42</v>
      </c>
      <c r="B277" t="s">
        <v>17</v>
      </c>
      <c r="C277" s="2">
        <v>1740931</v>
      </c>
      <c r="D277" s="2">
        <v>1328757</v>
      </c>
      <c r="E277" s="2">
        <f>historical_actuals3[[#This Row],[net_sales]]-historical_actuals3[[#This Row],[cogs]]</f>
        <v>412174</v>
      </c>
      <c r="F277" s="3">
        <f>IFERROR(historical_actuals3[[#This Row],[gross_profit]]/historical_actuals3[[#This Row],[net_sales]],0)</f>
        <v>0.23675493170033735</v>
      </c>
      <c r="G277" s="2">
        <v>68594.039999999994</v>
      </c>
      <c r="H277" s="2">
        <v>137936.39000000001</v>
      </c>
      <c r="I277" s="2">
        <f>historical_actuals3[[#This Row],[gross_profit]]-historical_actuals3[[#This Row],[labour_cost]]-historical_actuals3[[#This Row],[operating_expenses]]</f>
        <v>205643.57</v>
      </c>
      <c r="J277" s="3">
        <f>IFERROR(historical_actuals3[[#This Row],[operating_profit]]/historical_actuals3[[#This Row],[net_sales]],0)</f>
        <v>0.11812275730629186</v>
      </c>
    </row>
    <row r="278" spans="1:10" x14ac:dyDescent="0.3">
      <c r="A278" t="s">
        <v>42</v>
      </c>
      <c r="B278" t="s">
        <v>18</v>
      </c>
      <c r="C278" s="2">
        <v>1648081</v>
      </c>
      <c r="D278" s="2">
        <v>1265019</v>
      </c>
      <c r="E278" s="2">
        <f>historical_actuals3[[#This Row],[net_sales]]-historical_actuals3[[#This Row],[cogs]]</f>
        <v>383062</v>
      </c>
      <c r="F278" s="3">
        <f>IFERROR(historical_actuals3[[#This Row],[gross_profit]]/historical_actuals3[[#This Row],[net_sales]],0)</f>
        <v>0.23242910997699748</v>
      </c>
      <c r="G278" s="2">
        <v>68684.570000000007</v>
      </c>
      <c r="H278" s="2">
        <v>113660.38</v>
      </c>
      <c r="I278" s="2">
        <f>historical_actuals3[[#This Row],[gross_profit]]-historical_actuals3[[#This Row],[labour_cost]]-historical_actuals3[[#This Row],[operating_expenses]]</f>
        <v>200717.05</v>
      </c>
      <c r="J278" s="3">
        <f>IFERROR(historical_actuals3[[#This Row],[operating_profit]]/historical_actuals3[[#This Row],[net_sales]],0)</f>
        <v>0.12178834050025453</v>
      </c>
    </row>
    <row r="279" spans="1:10" x14ac:dyDescent="0.3">
      <c r="A279" t="s">
        <v>42</v>
      </c>
      <c r="B279" t="s">
        <v>19</v>
      </c>
      <c r="C279" s="2">
        <v>1709096</v>
      </c>
      <c r="D279" s="2">
        <v>1335753</v>
      </c>
      <c r="E279" s="2">
        <f>historical_actuals3[[#This Row],[net_sales]]-historical_actuals3[[#This Row],[cogs]]</f>
        <v>373343</v>
      </c>
      <c r="F279" s="3">
        <f>IFERROR(historical_actuals3[[#This Row],[gross_profit]]/historical_actuals3[[#This Row],[net_sales]],0)</f>
        <v>0.2184447216540206</v>
      </c>
      <c r="G279" s="2">
        <v>68829</v>
      </c>
      <c r="H279" s="2">
        <v>114543.2</v>
      </c>
      <c r="I279" s="2">
        <f>historical_actuals3[[#This Row],[gross_profit]]-historical_actuals3[[#This Row],[labour_cost]]-historical_actuals3[[#This Row],[operating_expenses]]</f>
        <v>189970.8</v>
      </c>
      <c r="J279" s="3">
        <f>IFERROR(historical_actuals3[[#This Row],[operating_profit]]/historical_actuals3[[#This Row],[net_sales]],0)</f>
        <v>0.11115279656613788</v>
      </c>
    </row>
    <row r="280" spans="1:10" x14ac:dyDescent="0.3">
      <c r="A280" t="s">
        <v>42</v>
      </c>
      <c r="B280" t="s">
        <v>20</v>
      </c>
      <c r="C280" s="2">
        <v>1620074</v>
      </c>
      <c r="D280" s="2">
        <v>1268183</v>
      </c>
      <c r="E280" s="2">
        <f>historical_actuals3[[#This Row],[net_sales]]-historical_actuals3[[#This Row],[cogs]]</f>
        <v>351891</v>
      </c>
      <c r="F280" s="3">
        <f>IFERROR(historical_actuals3[[#This Row],[gross_profit]]/historical_actuals3[[#This Row],[net_sales]],0)</f>
        <v>0.21720674487708586</v>
      </c>
      <c r="G280" s="2">
        <v>68667.69</v>
      </c>
      <c r="H280" s="2">
        <v>119216.24</v>
      </c>
      <c r="I280" s="2">
        <f>historical_actuals3[[#This Row],[gross_profit]]-historical_actuals3[[#This Row],[labour_cost]]-historical_actuals3[[#This Row],[operating_expenses]]</f>
        <v>164007.07</v>
      </c>
      <c r="J280" s="3">
        <f>IFERROR(historical_actuals3[[#This Row],[operating_profit]]/historical_actuals3[[#This Row],[net_sales]],0)</f>
        <v>0.10123430781556893</v>
      </c>
    </row>
    <row r="281" spans="1:10" x14ac:dyDescent="0.3">
      <c r="A281" t="s">
        <v>42</v>
      </c>
      <c r="B281" t="s">
        <v>21</v>
      </c>
      <c r="C281" s="2">
        <v>1592946</v>
      </c>
      <c r="D281" s="2">
        <v>1216743</v>
      </c>
      <c r="E281" s="2">
        <f>historical_actuals3[[#This Row],[net_sales]]-historical_actuals3[[#This Row],[cogs]]</f>
        <v>376203</v>
      </c>
      <c r="F281" s="3">
        <f>IFERROR(historical_actuals3[[#This Row],[gross_profit]]/historical_actuals3[[#This Row],[net_sales]],0)</f>
        <v>0.2361680810272288</v>
      </c>
      <c r="G281" s="2">
        <v>67879.23</v>
      </c>
      <c r="H281" s="2">
        <v>113879.45</v>
      </c>
      <c r="I281" s="2">
        <f>historical_actuals3[[#This Row],[gross_profit]]-historical_actuals3[[#This Row],[labour_cost]]-historical_actuals3[[#This Row],[operating_expenses]]</f>
        <v>194444.32</v>
      </c>
      <c r="J281" s="3">
        <f>IFERROR(historical_actuals3[[#This Row],[operating_profit]]/historical_actuals3[[#This Row],[net_sales]],0)</f>
        <v>0.12206585785079972</v>
      </c>
    </row>
    <row r="282" spans="1:10" x14ac:dyDescent="0.3">
      <c r="A282" t="s">
        <v>42</v>
      </c>
      <c r="B282" t="s">
        <v>22</v>
      </c>
      <c r="C282" s="2">
        <v>1601070</v>
      </c>
      <c r="D282" s="2">
        <v>1242182</v>
      </c>
      <c r="E282" s="2">
        <f>historical_actuals3[[#This Row],[net_sales]]-historical_actuals3[[#This Row],[cogs]]</f>
        <v>358888</v>
      </c>
      <c r="F282" s="3">
        <f>IFERROR(historical_actuals3[[#This Row],[gross_profit]]/historical_actuals3[[#This Row],[net_sales]],0)</f>
        <v>0.22415509627936317</v>
      </c>
      <c r="G282" s="2">
        <v>71078.78</v>
      </c>
      <c r="H282" s="2">
        <v>119219.88</v>
      </c>
      <c r="I282" s="2">
        <f>historical_actuals3[[#This Row],[gross_profit]]-historical_actuals3[[#This Row],[labour_cost]]-historical_actuals3[[#This Row],[operating_expenses]]</f>
        <v>168589.33999999997</v>
      </c>
      <c r="J282" s="3">
        <f>IFERROR(historical_actuals3[[#This Row],[operating_profit]]/historical_actuals3[[#This Row],[net_sales]],0)</f>
        <v>0.10529791951632343</v>
      </c>
    </row>
    <row r="283" spans="1:10" x14ac:dyDescent="0.3">
      <c r="A283" t="s">
        <v>42</v>
      </c>
      <c r="B283" t="s">
        <v>23</v>
      </c>
      <c r="C283" s="2">
        <v>1693224</v>
      </c>
      <c r="D283" s="2">
        <v>1281831</v>
      </c>
      <c r="E283" s="2">
        <f>historical_actuals3[[#This Row],[net_sales]]-historical_actuals3[[#This Row],[cogs]]</f>
        <v>411393</v>
      </c>
      <c r="F283" s="3">
        <f>IFERROR(historical_actuals3[[#This Row],[gross_profit]]/historical_actuals3[[#This Row],[net_sales]],0)</f>
        <v>0.24296430950659806</v>
      </c>
      <c r="G283" s="2">
        <v>67942.52</v>
      </c>
      <c r="H283" s="2">
        <v>130591.57</v>
      </c>
      <c r="I283" s="2">
        <f>historical_actuals3[[#This Row],[gross_profit]]-historical_actuals3[[#This Row],[labour_cost]]-historical_actuals3[[#This Row],[operating_expenses]]</f>
        <v>212858.90999999997</v>
      </c>
      <c r="J283" s="3">
        <f>IFERROR(historical_actuals3[[#This Row],[operating_profit]]/historical_actuals3[[#This Row],[net_sales]],0)</f>
        <v>0.12571219755921248</v>
      </c>
    </row>
    <row r="284" spans="1:10" x14ac:dyDescent="0.3">
      <c r="A284" t="s">
        <v>42</v>
      </c>
      <c r="B284" t="s">
        <v>24</v>
      </c>
      <c r="C284" s="2">
        <v>1626343</v>
      </c>
      <c r="D284" s="2">
        <v>1231880</v>
      </c>
      <c r="E284" s="2">
        <f>historical_actuals3[[#This Row],[net_sales]]-historical_actuals3[[#This Row],[cogs]]</f>
        <v>394463</v>
      </c>
      <c r="F284" s="3">
        <f>IFERROR(historical_actuals3[[#This Row],[gross_profit]]/historical_actuals3[[#This Row],[net_sales]],0)</f>
        <v>0.24254600659270523</v>
      </c>
      <c r="G284" s="2">
        <v>68912.490000000005</v>
      </c>
      <c r="H284" s="2">
        <v>129601.52</v>
      </c>
      <c r="I284" s="2">
        <f>historical_actuals3[[#This Row],[gross_profit]]-historical_actuals3[[#This Row],[labour_cost]]-historical_actuals3[[#This Row],[operating_expenses]]</f>
        <v>195948.99</v>
      </c>
      <c r="J284" s="3">
        <f>IFERROR(historical_actuals3[[#This Row],[operating_profit]]/historical_actuals3[[#This Row],[net_sales]],0)</f>
        <v>0.12048441810860316</v>
      </c>
    </row>
    <row r="285" spans="1:10" x14ac:dyDescent="0.3">
      <c r="A285" t="s">
        <v>42</v>
      </c>
      <c r="B285" t="s">
        <v>25</v>
      </c>
      <c r="C285" s="2">
        <v>1619385</v>
      </c>
      <c r="D285" s="2">
        <v>1264262</v>
      </c>
      <c r="E285" s="2">
        <f>historical_actuals3[[#This Row],[net_sales]]-historical_actuals3[[#This Row],[cogs]]</f>
        <v>355123</v>
      </c>
      <c r="F285" s="3">
        <f>IFERROR(historical_actuals3[[#This Row],[gross_profit]]/historical_actuals3[[#This Row],[net_sales]],0)</f>
        <v>0.21929497926682043</v>
      </c>
      <c r="G285" s="2">
        <v>16465.310000000001</v>
      </c>
      <c r="H285" s="2">
        <v>26201.46</v>
      </c>
      <c r="I285" s="2">
        <f>historical_actuals3[[#This Row],[gross_profit]]-historical_actuals3[[#This Row],[labour_cost]]-historical_actuals3[[#This Row],[operating_expenses]]</f>
        <v>312456.23</v>
      </c>
      <c r="J285" s="3">
        <f>IFERROR(historical_actuals3[[#This Row],[operating_profit]]/historical_actuals3[[#This Row],[net_sales]],0)</f>
        <v>0.19294746462391585</v>
      </c>
    </row>
    <row r="286" spans="1:10" x14ac:dyDescent="0.3">
      <c r="A286" t="s">
        <v>42</v>
      </c>
      <c r="B286" t="s">
        <v>26</v>
      </c>
      <c r="C286" s="2">
        <v>1718692</v>
      </c>
      <c r="D286" s="2">
        <v>1332709</v>
      </c>
      <c r="E286" s="2">
        <f>historical_actuals3[[#This Row],[net_sales]]-historical_actuals3[[#This Row],[cogs]]</f>
        <v>385983</v>
      </c>
      <c r="F286" s="3">
        <f>IFERROR(historical_actuals3[[#This Row],[gross_profit]]/historical_actuals3[[#This Row],[net_sales]],0)</f>
        <v>0.22457950581023242</v>
      </c>
      <c r="G286" s="2">
        <v>16441.97</v>
      </c>
      <c r="H286" s="2">
        <v>27297.19</v>
      </c>
      <c r="I286" s="2">
        <f>historical_actuals3[[#This Row],[gross_profit]]-historical_actuals3[[#This Row],[labour_cost]]-historical_actuals3[[#This Row],[operating_expenses]]</f>
        <v>342243.84000000003</v>
      </c>
      <c r="J286" s="3">
        <f>IFERROR(historical_actuals3[[#This Row],[operating_profit]]/historical_actuals3[[#This Row],[net_sales]],0)</f>
        <v>0.19913040847342051</v>
      </c>
    </row>
    <row r="287" spans="1:10" x14ac:dyDescent="0.3">
      <c r="A287" t="s">
        <v>42</v>
      </c>
      <c r="B287" t="s">
        <v>27</v>
      </c>
      <c r="C287" s="2">
        <v>1588155</v>
      </c>
      <c r="D287" s="2">
        <v>1209575</v>
      </c>
      <c r="E287" s="2">
        <f>historical_actuals3[[#This Row],[net_sales]]-historical_actuals3[[#This Row],[cogs]]</f>
        <v>378580</v>
      </c>
      <c r="F287" s="3">
        <f>IFERROR(historical_actuals3[[#This Row],[gross_profit]]/historical_actuals3[[#This Row],[net_sales]],0)</f>
        <v>0.23837723647880718</v>
      </c>
      <c r="G287" s="2">
        <v>16232.58</v>
      </c>
      <c r="H287" s="2">
        <v>26374.93</v>
      </c>
      <c r="I287" s="2">
        <f>historical_actuals3[[#This Row],[gross_profit]]-historical_actuals3[[#This Row],[labour_cost]]-historical_actuals3[[#This Row],[operating_expenses]]</f>
        <v>335972.49</v>
      </c>
      <c r="J287" s="3">
        <f>IFERROR(historical_actuals3[[#This Row],[operating_profit]]/historical_actuals3[[#This Row],[net_sales]],0)</f>
        <v>0.21154892941809836</v>
      </c>
    </row>
    <row r="288" spans="1:10" x14ac:dyDescent="0.3">
      <c r="A288" t="s">
        <v>42</v>
      </c>
      <c r="B288" t="s">
        <v>28</v>
      </c>
      <c r="C288" s="2">
        <v>1672231</v>
      </c>
      <c r="D288" s="2">
        <v>1305714</v>
      </c>
      <c r="E288" s="2">
        <f>historical_actuals3[[#This Row],[net_sales]]-historical_actuals3[[#This Row],[cogs]]</f>
        <v>366517</v>
      </c>
      <c r="F288" s="3">
        <f>IFERROR(historical_actuals3[[#This Row],[gross_profit]]/historical_actuals3[[#This Row],[net_sales]],0)</f>
        <v>0.21917845082407872</v>
      </c>
      <c r="G288" s="2">
        <v>15698.72</v>
      </c>
      <c r="H288" s="2">
        <v>30656.83</v>
      </c>
      <c r="I288" s="2">
        <f>historical_actuals3[[#This Row],[gross_profit]]-historical_actuals3[[#This Row],[labour_cost]]-historical_actuals3[[#This Row],[operating_expenses]]</f>
        <v>320161.45</v>
      </c>
      <c r="J288" s="3">
        <f>IFERROR(historical_actuals3[[#This Row],[operating_profit]]/historical_actuals3[[#This Row],[net_sales]],0)</f>
        <v>0.19145766942485817</v>
      </c>
    </row>
    <row r="289" spans="1:10" x14ac:dyDescent="0.3">
      <c r="A289" t="s">
        <v>42</v>
      </c>
      <c r="B289" t="s">
        <v>31</v>
      </c>
      <c r="C289" s="2">
        <v>2022508</v>
      </c>
      <c r="D289" s="2">
        <v>1574214</v>
      </c>
      <c r="E289" s="2">
        <f>historical_actuals3[[#This Row],[net_sales]]-historical_actuals3[[#This Row],[cogs]]</f>
        <v>448294</v>
      </c>
      <c r="F289" s="3">
        <f>IFERROR(historical_actuals3[[#This Row],[gross_profit]]/historical_actuals3[[#This Row],[net_sales]],0)</f>
        <v>0.22165252251165385</v>
      </c>
      <c r="G289" s="2">
        <v>15999.27</v>
      </c>
      <c r="H289" s="2">
        <v>27347.01</v>
      </c>
      <c r="I289" s="2">
        <f>historical_actuals3[[#This Row],[gross_profit]]-historical_actuals3[[#This Row],[labour_cost]]-historical_actuals3[[#This Row],[operating_expenses]]</f>
        <v>404947.72</v>
      </c>
      <c r="J289" s="3">
        <f>IFERROR(historical_actuals3[[#This Row],[operating_profit]]/historical_actuals3[[#This Row],[net_sales]],0)</f>
        <v>0.20022057761947046</v>
      </c>
    </row>
    <row r="290" spans="1:10" x14ac:dyDescent="0.3">
      <c r="A290" t="s">
        <v>42</v>
      </c>
      <c r="B290" t="s">
        <v>37</v>
      </c>
      <c r="C290" s="2">
        <v>3242555</v>
      </c>
      <c r="D290" s="2">
        <v>2498768</v>
      </c>
      <c r="E290" s="2">
        <f>historical_actuals3[[#This Row],[net_sales]]-historical_actuals3[[#This Row],[cogs]]</f>
        <v>743787</v>
      </c>
      <c r="F290" s="3">
        <f>IFERROR(historical_actuals3[[#This Row],[gross_profit]]/historical_actuals3[[#This Row],[net_sales]],0)</f>
        <v>0.22938300198454614</v>
      </c>
      <c r="G290" s="2">
        <v>16235.88</v>
      </c>
      <c r="H290" s="2">
        <v>29905.439999999999</v>
      </c>
      <c r="I290" s="2">
        <f>historical_actuals3[[#This Row],[gross_profit]]-historical_actuals3[[#This Row],[labour_cost]]-historical_actuals3[[#This Row],[operating_expenses]]</f>
        <v>697645.68</v>
      </c>
      <c r="J290" s="3">
        <f>IFERROR(historical_actuals3[[#This Row],[operating_profit]]/historical_actuals3[[#This Row],[net_sales]],0)</f>
        <v>0.21515307527551578</v>
      </c>
    </row>
    <row r="291" spans="1:10" x14ac:dyDescent="0.3">
      <c r="A291" t="s">
        <v>42</v>
      </c>
      <c r="B291" t="s">
        <v>32</v>
      </c>
      <c r="C291" s="2">
        <v>1916548</v>
      </c>
      <c r="D291" s="2">
        <v>1470751</v>
      </c>
      <c r="E291" s="2">
        <f>historical_actuals3[[#This Row],[net_sales]]-historical_actuals3[[#This Row],[cogs]]</f>
        <v>445797</v>
      </c>
      <c r="F291" s="3">
        <f>IFERROR(historical_actuals3[[#This Row],[gross_profit]]/historical_actuals3[[#This Row],[net_sales]],0)</f>
        <v>0.23260414036069016</v>
      </c>
      <c r="G291" s="2">
        <v>16662.82</v>
      </c>
      <c r="H291" s="2">
        <v>29792.1</v>
      </c>
      <c r="I291" s="2">
        <f>historical_actuals3[[#This Row],[gross_profit]]-historical_actuals3[[#This Row],[labour_cost]]-historical_actuals3[[#This Row],[operating_expenses]]</f>
        <v>399342.08000000002</v>
      </c>
      <c r="J291" s="3">
        <f>IFERROR(historical_actuals3[[#This Row],[operating_profit]]/historical_actuals3[[#This Row],[net_sales]],0)</f>
        <v>0.20836529009448237</v>
      </c>
    </row>
    <row r="292" spans="1:10" x14ac:dyDescent="0.3">
      <c r="A292" t="s">
        <v>77</v>
      </c>
      <c r="C292" s="2">
        <f>SUBTOTAL(109,historical_actuals3[net_sales])</f>
        <v>474595610</v>
      </c>
      <c r="D292" s="2">
        <f>SUBTOTAL(109,historical_actuals3[cogs])</f>
        <v>372380995</v>
      </c>
      <c r="E292" s="2">
        <f>SUBTOTAL(109,historical_actuals3[gross_profit])</f>
        <v>102214615</v>
      </c>
      <c r="F292" s="3">
        <f>historical_actuals3[[#Totals],[gross_profit]]/historical_actuals3[[#Totals],[net_sales]]</f>
        <v>0.21537201955997864</v>
      </c>
      <c r="G292" s="2">
        <f>SUBTOTAL(109,historical_actuals3[labour_cost])</f>
        <v>15946072.179999998</v>
      </c>
      <c r="H292" s="2">
        <f>SUBTOTAL(109,historical_actuals3[operating_expenses])</f>
        <v>28957320.659999989</v>
      </c>
      <c r="I292" s="2">
        <f>SUBTOTAL(109,historical_actuals3[operating_profit])</f>
        <v>57311222.159999974</v>
      </c>
      <c r="J292" s="3">
        <f>historical_actuals3[[#Totals],[operating_profit]]/historical_actuals3[[#Totals],[net_sales]]</f>
        <v>0.12075801156272806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CAEC-F1DE-4C66-A15E-995B8ECEB461}">
  <dimension ref="A2:D15"/>
  <sheetViews>
    <sheetView workbookViewId="0">
      <selection activeCell="D25" sqref="D25"/>
    </sheetView>
  </sheetViews>
  <sheetFormatPr defaultRowHeight="14.4" x14ac:dyDescent="0.3"/>
  <cols>
    <col min="1" max="1" width="21.109375" customWidth="1"/>
    <col min="2" max="2" width="11.88671875" customWidth="1"/>
  </cols>
  <sheetData>
    <row r="2" spans="1:4" x14ac:dyDescent="0.3">
      <c r="A2" s="26" t="s">
        <v>55</v>
      </c>
      <c r="B2" s="21" t="s">
        <v>49</v>
      </c>
    </row>
    <row r="3" spans="1:4" x14ac:dyDescent="0.3">
      <c r="A3" s="21"/>
      <c r="B3" s="21"/>
    </row>
    <row r="4" spans="1:4" x14ac:dyDescent="0.3">
      <c r="A4" s="21"/>
      <c r="B4" s="21"/>
    </row>
    <row r="5" spans="1:4" x14ac:dyDescent="0.3">
      <c r="A5" s="23" t="s">
        <v>47</v>
      </c>
      <c r="B5" s="24" t="s">
        <v>48</v>
      </c>
      <c r="C5" s="24" t="s">
        <v>49</v>
      </c>
      <c r="D5" s="24" t="s">
        <v>50</v>
      </c>
    </row>
    <row r="6" spans="1:4" x14ac:dyDescent="0.3">
      <c r="A6" s="4" t="s">
        <v>51</v>
      </c>
      <c r="B6" s="25">
        <v>-0.02</v>
      </c>
      <c r="C6" s="25">
        <v>0.03</v>
      </c>
      <c r="D6" s="25">
        <v>0.06</v>
      </c>
    </row>
    <row r="7" spans="1:4" x14ac:dyDescent="0.3">
      <c r="A7" s="4" t="s">
        <v>52</v>
      </c>
      <c r="B7" s="25">
        <v>0.05</v>
      </c>
      <c r="C7" s="25">
        <v>0.03</v>
      </c>
      <c r="D7" s="25">
        <v>0.01</v>
      </c>
    </row>
    <row r="8" spans="1:4" x14ac:dyDescent="0.3">
      <c r="A8" s="4" t="s">
        <v>53</v>
      </c>
      <c r="B8" s="25">
        <v>0.06</v>
      </c>
      <c r="C8" s="25">
        <v>0.04</v>
      </c>
      <c r="D8" s="25">
        <v>0.03</v>
      </c>
    </row>
    <row r="9" spans="1:4" ht="28.8" x14ac:dyDescent="0.3">
      <c r="A9" s="4" t="s">
        <v>54</v>
      </c>
      <c r="B9" s="25">
        <v>0.05</v>
      </c>
      <c r="C9" s="25">
        <v>0.03</v>
      </c>
      <c r="D9" s="25">
        <v>0.02</v>
      </c>
    </row>
    <row r="11" spans="1:4" ht="28.8" x14ac:dyDescent="0.3">
      <c r="A11" s="23" t="s">
        <v>47</v>
      </c>
      <c r="B11" s="24" t="s">
        <v>56</v>
      </c>
    </row>
    <row r="12" spans="1:4" x14ac:dyDescent="0.3">
      <c r="A12" s="4" t="s">
        <v>51</v>
      </c>
      <c r="B12" s="25">
        <f>_xlfn.XLOOKUP($B$2,$B$5:$D$5,B6:D6)</f>
        <v>0.03</v>
      </c>
    </row>
    <row r="13" spans="1:4" x14ac:dyDescent="0.3">
      <c r="A13" s="4" t="s">
        <v>52</v>
      </c>
      <c r="B13" s="25">
        <f>_xlfn.XLOOKUP($B$2,$B$5:$D$5,B7:D7)</f>
        <v>0.03</v>
      </c>
    </row>
    <row r="14" spans="1:4" x14ac:dyDescent="0.3">
      <c r="A14" s="4" t="s">
        <v>53</v>
      </c>
      <c r="B14" s="25">
        <f>_xlfn.XLOOKUP($B$2,$B$5:$D$5,B8:D8)</f>
        <v>0.04</v>
      </c>
    </row>
    <row r="15" spans="1:4" ht="28.8" x14ac:dyDescent="0.3">
      <c r="A15" s="4" t="s">
        <v>54</v>
      </c>
      <c r="B15" s="25">
        <f>_xlfn.XLOOKUP($B$2,$B$5:$D$5,B9:D9)</f>
        <v>0.03</v>
      </c>
    </row>
  </sheetData>
  <dataValidations count="1">
    <dataValidation type="list" allowBlank="1" showInputMessage="1" showErrorMessage="1" sqref="B2" xr:uid="{D9323056-C345-4DE3-9421-0BD111F69E85}">
      <formula1>"Downside,Base,Upside"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57AF-1735-4C72-9F0E-325E4BA580A2}">
  <dimension ref="A1:F291"/>
  <sheetViews>
    <sheetView workbookViewId="0">
      <selection activeCell="F5" sqref="F5"/>
    </sheetView>
  </sheetViews>
  <sheetFormatPr defaultRowHeight="14.4" x14ac:dyDescent="0.3"/>
  <cols>
    <col min="1" max="1" width="12.5546875" bestFit="1" customWidth="1"/>
    <col min="2" max="2" width="9.5546875" bestFit="1" customWidth="1"/>
    <col min="3" max="3" width="10.77734375" bestFit="1" customWidth="1"/>
    <col min="4" max="4" width="8" bestFit="1" customWidth="1"/>
    <col min="5" max="5" width="12.5546875" bestFit="1" customWidth="1"/>
    <col min="6" max="6" width="19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1629783</v>
      </c>
      <c r="D2">
        <v>1296230</v>
      </c>
      <c r="E2">
        <v>68522.570000000007</v>
      </c>
      <c r="F2">
        <v>134089.48000000001</v>
      </c>
    </row>
    <row r="3" spans="1:6" x14ac:dyDescent="0.3">
      <c r="A3" t="s">
        <v>6</v>
      </c>
      <c r="B3" t="s">
        <v>8</v>
      </c>
      <c r="C3">
        <v>1617193</v>
      </c>
      <c r="D3">
        <v>1283300</v>
      </c>
      <c r="E3">
        <v>67998.39</v>
      </c>
      <c r="F3">
        <v>127208.01</v>
      </c>
    </row>
    <row r="4" spans="1:6" x14ac:dyDescent="0.3">
      <c r="A4" t="s">
        <v>6</v>
      </c>
      <c r="B4" t="s">
        <v>9</v>
      </c>
      <c r="C4">
        <v>1633880</v>
      </c>
      <c r="D4">
        <v>1303972</v>
      </c>
      <c r="E4">
        <v>69426.47</v>
      </c>
      <c r="F4">
        <v>125095.49</v>
      </c>
    </row>
    <row r="5" spans="1:6" x14ac:dyDescent="0.3">
      <c r="A5" t="s">
        <v>6</v>
      </c>
      <c r="B5" t="s">
        <v>10</v>
      </c>
      <c r="C5">
        <v>1620996</v>
      </c>
      <c r="D5">
        <v>1311164</v>
      </c>
      <c r="E5">
        <v>66745.86</v>
      </c>
      <c r="F5">
        <v>137270.32999999999</v>
      </c>
    </row>
    <row r="6" spans="1:6" x14ac:dyDescent="0.3">
      <c r="A6" t="s">
        <v>6</v>
      </c>
      <c r="B6" t="s">
        <v>11</v>
      </c>
      <c r="C6">
        <v>1540837</v>
      </c>
      <c r="D6">
        <v>1232753</v>
      </c>
      <c r="E6">
        <v>71156.7</v>
      </c>
      <c r="F6">
        <v>119525.99</v>
      </c>
    </row>
    <row r="7" spans="1:6" x14ac:dyDescent="0.3">
      <c r="A7" t="s">
        <v>6</v>
      </c>
      <c r="B7" t="s">
        <v>12</v>
      </c>
      <c r="C7">
        <v>1490262</v>
      </c>
      <c r="D7">
        <v>1174186</v>
      </c>
      <c r="E7">
        <v>70716.210000000006</v>
      </c>
      <c r="F7">
        <v>115116.98</v>
      </c>
    </row>
    <row r="8" spans="1:6" x14ac:dyDescent="0.3">
      <c r="A8" t="s">
        <v>6</v>
      </c>
      <c r="B8" t="s">
        <v>13</v>
      </c>
      <c r="C8">
        <v>1722278</v>
      </c>
      <c r="D8">
        <v>1362688</v>
      </c>
      <c r="E8">
        <v>69915.25</v>
      </c>
      <c r="F8">
        <v>112971.73</v>
      </c>
    </row>
    <row r="9" spans="1:6" x14ac:dyDescent="0.3">
      <c r="A9" t="s">
        <v>6</v>
      </c>
      <c r="B9" t="s">
        <v>14</v>
      </c>
      <c r="C9">
        <v>1766395</v>
      </c>
      <c r="D9">
        <v>1385977</v>
      </c>
      <c r="E9">
        <v>69839.73</v>
      </c>
      <c r="F9">
        <v>121333.75</v>
      </c>
    </row>
    <row r="10" spans="1:6" x14ac:dyDescent="0.3">
      <c r="A10" t="s">
        <v>6</v>
      </c>
      <c r="B10" t="s">
        <v>15</v>
      </c>
      <c r="C10">
        <v>1664236</v>
      </c>
      <c r="D10">
        <v>1302026</v>
      </c>
      <c r="E10">
        <v>69505.119999999995</v>
      </c>
      <c r="F10">
        <v>114453.56</v>
      </c>
    </row>
    <row r="11" spans="1:6" x14ac:dyDescent="0.3">
      <c r="A11" t="s">
        <v>6</v>
      </c>
      <c r="B11" t="s">
        <v>16</v>
      </c>
      <c r="C11">
        <v>1544021</v>
      </c>
      <c r="D11">
        <v>1204744</v>
      </c>
      <c r="E11">
        <v>73001.52</v>
      </c>
      <c r="F11">
        <v>114231.17</v>
      </c>
    </row>
    <row r="12" spans="1:6" x14ac:dyDescent="0.3">
      <c r="A12" t="s">
        <v>6</v>
      </c>
      <c r="B12" t="s">
        <v>17</v>
      </c>
      <c r="C12">
        <v>1408002</v>
      </c>
      <c r="D12">
        <v>1111514</v>
      </c>
      <c r="E12">
        <v>69394.929999999993</v>
      </c>
      <c r="F12">
        <v>129213.07</v>
      </c>
    </row>
    <row r="13" spans="1:6" x14ac:dyDescent="0.3">
      <c r="A13" t="s">
        <v>6</v>
      </c>
      <c r="B13" t="s">
        <v>18</v>
      </c>
      <c r="C13">
        <v>1372555</v>
      </c>
      <c r="D13">
        <v>1105465</v>
      </c>
      <c r="E13">
        <v>68328.77</v>
      </c>
      <c r="F13">
        <v>128055.69</v>
      </c>
    </row>
    <row r="14" spans="1:6" x14ac:dyDescent="0.3">
      <c r="A14" t="s">
        <v>6</v>
      </c>
      <c r="B14" t="s">
        <v>19</v>
      </c>
      <c r="C14">
        <v>1469056</v>
      </c>
      <c r="D14">
        <v>1167472</v>
      </c>
      <c r="E14">
        <v>69138.36</v>
      </c>
      <c r="F14">
        <v>116597.3</v>
      </c>
    </row>
    <row r="15" spans="1:6" x14ac:dyDescent="0.3">
      <c r="A15" t="s">
        <v>6</v>
      </c>
      <c r="B15" t="s">
        <v>20</v>
      </c>
      <c r="C15">
        <v>1618208</v>
      </c>
      <c r="D15">
        <v>1309506</v>
      </c>
      <c r="E15">
        <v>70975.92</v>
      </c>
      <c r="F15">
        <v>117808.73</v>
      </c>
    </row>
    <row r="16" spans="1:6" x14ac:dyDescent="0.3">
      <c r="A16" t="s">
        <v>6</v>
      </c>
      <c r="B16" t="s">
        <v>21</v>
      </c>
      <c r="C16">
        <v>1610677</v>
      </c>
      <c r="D16">
        <v>1281206</v>
      </c>
      <c r="E16">
        <v>68626.53</v>
      </c>
      <c r="F16">
        <v>122145.11</v>
      </c>
    </row>
    <row r="17" spans="1:6" x14ac:dyDescent="0.3">
      <c r="A17" t="s">
        <v>6</v>
      </c>
      <c r="B17" t="s">
        <v>22</v>
      </c>
      <c r="C17">
        <v>1553143</v>
      </c>
      <c r="D17">
        <v>1256411</v>
      </c>
      <c r="E17">
        <v>70098.460000000006</v>
      </c>
      <c r="F17">
        <v>136984.07999999999</v>
      </c>
    </row>
    <row r="18" spans="1:6" x14ac:dyDescent="0.3">
      <c r="A18" t="s">
        <v>6</v>
      </c>
      <c r="B18" t="s">
        <v>23</v>
      </c>
      <c r="C18">
        <v>1682029</v>
      </c>
      <c r="D18">
        <v>1321652</v>
      </c>
      <c r="E18">
        <v>71925.37</v>
      </c>
      <c r="F18">
        <v>127307.58</v>
      </c>
    </row>
    <row r="19" spans="1:6" x14ac:dyDescent="0.3">
      <c r="A19" t="s">
        <v>6</v>
      </c>
      <c r="B19" t="s">
        <v>24</v>
      </c>
      <c r="C19">
        <v>1593168</v>
      </c>
      <c r="D19">
        <v>1270448</v>
      </c>
      <c r="E19">
        <v>70863.149999999994</v>
      </c>
      <c r="F19">
        <v>118777.13</v>
      </c>
    </row>
    <row r="20" spans="1:6" x14ac:dyDescent="0.3">
      <c r="A20" t="s">
        <v>6</v>
      </c>
      <c r="B20" t="s">
        <v>25</v>
      </c>
      <c r="C20">
        <v>1560284</v>
      </c>
      <c r="D20">
        <v>1220282</v>
      </c>
      <c r="E20">
        <v>16740.259999999998</v>
      </c>
      <c r="F20">
        <v>29103.99</v>
      </c>
    </row>
    <row r="21" spans="1:6" x14ac:dyDescent="0.3">
      <c r="A21" t="s">
        <v>6</v>
      </c>
      <c r="B21" t="s">
        <v>26</v>
      </c>
      <c r="C21">
        <v>1407687</v>
      </c>
      <c r="D21">
        <v>1105583</v>
      </c>
      <c r="E21">
        <v>16272.67</v>
      </c>
      <c r="F21">
        <v>24864.19</v>
      </c>
    </row>
    <row r="22" spans="1:6" x14ac:dyDescent="0.3">
      <c r="A22" t="s">
        <v>6</v>
      </c>
      <c r="B22" t="s">
        <v>27</v>
      </c>
      <c r="C22">
        <v>1563663</v>
      </c>
      <c r="D22">
        <v>1242107</v>
      </c>
      <c r="E22">
        <v>16591</v>
      </c>
      <c r="F22">
        <v>27969.88</v>
      </c>
    </row>
    <row r="23" spans="1:6" x14ac:dyDescent="0.3">
      <c r="A23" t="s">
        <v>6</v>
      </c>
      <c r="B23" t="s">
        <v>28</v>
      </c>
      <c r="C23">
        <v>1651565</v>
      </c>
      <c r="D23">
        <v>1311931</v>
      </c>
      <c r="E23">
        <v>16512.689999999999</v>
      </c>
      <c r="F23">
        <v>25485.17</v>
      </c>
    </row>
    <row r="24" spans="1:6" x14ac:dyDescent="0.3">
      <c r="A24" t="s">
        <v>29</v>
      </c>
      <c r="B24" t="s">
        <v>7</v>
      </c>
      <c r="C24">
        <v>1453835</v>
      </c>
      <c r="D24">
        <v>1157438</v>
      </c>
      <c r="E24">
        <v>62945.33</v>
      </c>
      <c r="F24">
        <v>125728.76</v>
      </c>
    </row>
    <row r="25" spans="1:6" x14ac:dyDescent="0.3">
      <c r="A25" t="s">
        <v>29</v>
      </c>
      <c r="B25" t="s">
        <v>8</v>
      </c>
      <c r="C25">
        <v>1544334</v>
      </c>
      <c r="D25">
        <v>1234715</v>
      </c>
      <c r="E25">
        <v>61895.3</v>
      </c>
      <c r="F25">
        <v>137876.76</v>
      </c>
    </row>
    <row r="26" spans="1:6" x14ac:dyDescent="0.3">
      <c r="A26" t="s">
        <v>29</v>
      </c>
      <c r="B26" t="s">
        <v>9</v>
      </c>
      <c r="C26">
        <v>1427044</v>
      </c>
      <c r="D26">
        <v>1141194</v>
      </c>
      <c r="E26">
        <v>64185.31</v>
      </c>
      <c r="F26">
        <v>133872.71</v>
      </c>
    </row>
    <row r="27" spans="1:6" x14ac:dyDescent="0.3">
      <c r="A27" t="s">
        <v>29</v>
      </c>
      <c r="B27" t="s">
        <v>10</v>
      </c>
      <c r="C27">
        <v>1392310</v>
      </c>
      <c r="D27">
        <v>1078470</v>
      </c>
      <c r="E27">
        <v>60735.87</v>
      </c>
      <c r="F27">
        <v>135781.07</v>
      </c>
    </row>
    <row r="28" spans="1:6" x14ac:dyDescent="0.3">
      <c r="A28" t="s">
        <v>29</v>
      </c>
      <c r="B28" t="s">
        <v>11</v>
      </c>
      <c r="C28">
        <v>1579876</v>
      </c>
      <c r="D28">
        <v>1238996</v>
      </c>
      <c r="E28">
        <v>65389.01</v>
      </c>
      <c r="F28">
        <v>134802</v>
      </c>
    </row>
    <row r="29" spans="1:6" x14ac:dyDescent="0.3">
      <c r="A29" t="s">
        <v>29</v>
      </c>
      <c r="B29" t="s">
        <v>12</v>
      </c>
      <c r="C29">
        <v>1539272</v>
      </c>
      <c r="D29">
        <v>1244418</v>
      </c>
      <c r="E29">
        <v>61222.67</v>
      </c>
      <c r="F29">
        <v>132878.25</v>
      </c>
    </row>
    <row r="30" spans="1:6" x14ac:dyDescent="0.3">
      <c r="A30" t="s">
        <v>29</v>
      </c>
      <c r="B30" t="s">
        <v>13</v>
      </c>
      <c r="C30">
        <v>1453896</v>
      </c>
      <c r="D30">
        <v>1157917</v>
      </c>
      <c r="E30">
        <v>62426.8</v>
      </c>
      <c r="F30">
        <v>134530.21</v>
      </c>
    </row>
    <row r="31" spans="1:6" x14ac:dyDescent="0.3">
      <c r="A31" t="s">
        <v>29</v>
      </c>
      <c r="B31" t="s">
        <v>14</v>
      </c>
      <c r="C31">
        <v>1279631</v>
      </c>
      <c r="D31">
        <v>1010728</v>
      </c>
      <c r="E31">
        <v>61614.22</v>
      </c>
      <c r="F31">
        <v>113557.9</v>
      </c>
    </row>
    <row r="32" spans="1:6" x14ac:dyDescent="0.3">
      <c r="A32" t="s">
        <v>29</v>
      </c>
      <c r="B32" t="s">
        <v>15</v>
      </c>
      <c r="C32">
        <v>1405211</v>
      </c>
      <c r="D32">
        <v>1106469</v>
      </c>
      <c r="E32">
        <v>64455.24</v>
      </c>
      <c r="F32">
        <v>125387.38</v>
      </c>
    </row>
    <row r="33" spans="1:6" x14ac:dyDescent="0.3">
      <c r="A33" t="s">
        <v>29</v>
      </c>
      <c r="B33" t="s">
        <v>16</v>
      </c>
      <c r="C33">
        <v>1469979</v>
      </c>
      <c r="D33">
        <v>1158835</v>
      </c>
      <c r="E33">
        <v>65563.13</v>
      </c>
      <c r="F33">
        <v>129090.14</v>
      </c>
    </row>
    <row r="34" spans="1:6" x14ac:dyDescent="0.3">
      <c r="A34" t="s">
        <v>29</v>
      </c>
      <c r="B34" t="s">
        <v>17</v>
      </c>
      <c r="C34">
        <v>1436036</v>
      </c>
      <c r="D34">
        <v>1144663</v>
      </c>
      <c r="E34">
        <v>64573.27</v>
      </c>
      <c r="F34">
        <v>130179.2</v>
      </c>
    </row>
    <row r="35" spans="1:6" x14ac:dyDescent="0.3">
      <c r="A35" t="s">
        <v>29</v>
      </c>
      <c r="B35" t="s">
        <v>18</v>
      </c>
      <c r="C35">
        <v>1514190</v>
      </c>
      <c r="D35">
        <v>1193099</v>
      </c>
      <c r="E35">
        <v>63161.22</v>
      </c>
      <c r="F35">
        <v>139427.6</v>
      </c>
    </row>
    <row r="36" spans="1:6" x14ac:dyDescent="0.3">
      <c r="A36" t="s">
        <v>29</v>
      </c>
      <c r="B36" t="s">
        <v>19</v>
      </c>
      <c r="C36">
        <v>1358789</v>
      </c>
      <c r="D36">
        <v>1069109</v>
      </c>
      <c r="E36">
        <v>65426.080000000002</v>
      </c>
      <c r="F36">
        <v>110417.15</v>
      </c>
    </row>
    <row r="37" spans="1:6" x14ac:dyDescent="0.3">
      <c r="A37" t="s">
        <v>29</v>
      </c>
      <c r="B37" t="s">
        <v>20</v>
      </c>
      <c r="C37">
        <v>1370538</v>
      </c>
      <c r="D37">
        <v>1096920</v>
      </c>
      <c r="E37">
        <v>63132.39</v>
      </c>
      <c r="F37">
        <v>130876.8</v>
      </c>
    </row>
    <row r="38" spans="1:6" x14ac:dyDescent="0.3">
      <c r="A38" t="s">
        <v>29</v>
      </c>
      <c r="B38" t="s">
        <v>21</v>
      </c>
      <c r="C38">
        <v>1514678</v>
      </c>
      <c r="D38">
        <v>1209703</v>
      </c>
      <c r="E38">
        <v>63383.4</v>
      </c>
      <c r="F38">
        <v>113617.8</v>
      </c>
    </row>
    <row r="39" spans="1:6" x14ac:dyDescent="0.3">
      <c r="A39" t="s">
        <v>29</v>
      </c>
      <c r="B39" t="s">
        <v>22</v>
      </c>
      <c r="C39">
        <v>1342383</v>
      </c>
      <c r="D39">
        <v>1086735</v>
      </c>
      <c r="E39">
        <v>63228.61</v>
      </c>
      <c r="F39">
        <v>110505.87</v>
      </c>
    </row>
    <row r="40" spans="1:6" x14ac:dyDescent="0.3">
      <c r="A40" t="s">
        <v>29</v>
      </c>
      <c r="B40" t="s">
        <v>23</v>
      </c>
      <c r="C40">
        <v>1415320</v>
      </c>
      <c r="D40">
        <v>1098695</v>
      </c>
      <c r="E40">
        <v>63836.27</v>
      </c>
      <c r="F40">
        <v>125691.46</v>
      </c>
    </row>
    <row r="41" spans="1:6" x14ac:dyDescent="0.3">
      <c r="A41" t="s">
        <v>29</v>
      </c>
      <c r="B41" t="s">
        <v>24</v>
      </c>
      <c r="C41">
        <v>1492351</v>
      </c>
      <c r="D41">
        <v>1177128</v>
      </c>
      <c r="E41">
        <v>65021.55</v>
      </c>
      <c r="F41">
        <v>128541.77</v>
      </c>
    </row>
    <row r="42" spans="1:6" x14ac:dyDescent="0.3">
      <c r="A42" t="s">
        <v>29</v>
      </c>
      <c r="B42" t="s">
        <v>25</v>
      </c>
      <c r="C42">
        <v>1411028</v>
      </c>
      <c r="D42">
        <v>1136800</v>
      </c>
      <c r="E42">
        <v>15162.38</v>
      </c>
      <c r="F42">
        <v>25395.200000000001</v>
      </c>
    </row>
    <row r="43" spans="1:6" x14ac:dyDescent="0.3">
      <c r="A43" t="s">
        <v>29</v>
      </c>
      <c r="B43" t="s">
        <v>26</v>
      </c>
      <c r="C43">
        <v>1530235</v>
      </c>
      <c r="D43">
        <v>1198309</v>
      </c>
      <c r="E43">
        <v>14258.41</v>
      </c>
      <c r="F43">
        <v>30311.08</v>
      </c>
    </row>
    <row r="44" spans="1:6" x14ac:dyDescent="0.3">
      <c r="A44" t="s">
        <v>29</v>
      </c>
      <c r="B44" t="s">
        <v>27</v>
      </c>
      <c r="C44">
        <v>1328931</v>
      </c>
      <c r="D44">
        <v>1049022</v>
      </c>
      <c r="E44">
        <v>14224.94</v>
      </c>
      <c r="F44">
        <v>25802.76</v>
      </c>
    </row>
    <row r="45" spans="1:6" x14ac:dyDescent="0.3">
      <c r="A45" t="s">
        <v>29</v>
      </c>
      <c r="B45" t="s">
        <v>28</v>
      </c>
      <c r="C45">
        <v>1485406</v>
      </c>
      <c r="D45">
        <v>1175830</v>
      </c>
      <c r="E45">
        <v>15064.13</v>
      </c>
      <c r="F45">
        <v>27881.55</v>
      </c>
    </row>
    <row r="46" spans="1:6" x14ac:dyDescent="0.3">
      <c r="A46" t="s">
        <v>30</v>
      </c>
      <c r="B46" t="s">
        <v>7</v>
      </c>
      <c r="C46">
        <v>1748449</v>
      </c>
      <c r="D46">
        <v>1353661</v>
      </c>
      <c r="E46">
        <v>70895.179999999993</v>
      </c>
      <c r="F46">
        <v>133537.70000000001</v>
      </c>
    </row>
    <row r="47" spans="1:6" x14ac:dyDescent="0.3">
      <c r="A47" t="s">
        <v>30</v>
      </c>
      <c r="B47" t="s">
        <v>8</v>
      </c>
      <c r="C47">
        <v>1665712</v>
      </c>
      <c r="D47">
        <v>1334513</v>
      </c>
      <c r="E47">
        <v>69911.81</v>
      </c>
      <c r="F47">
        <v>129916.42</v>
      </c>
    </row>
    <row r="48" spans="1:6" x14ac:dyDescent="0.3">
      <c r="A48" t="s">
        <v>30</v>
      </c>
      <c r="B48" t="s">
        <v>9</v>
      </c>
      <c r="C48">
        <v>1532075</v>
      </c>
      <c r="D48">
        <v>1204177</v>
      </c>
      <c r="E48">
        <v>72804.81</v>
      </c>
      <c r="F48">
        <v>124005.69</v>
      </c>
    </row>
    <row r="49" spans="1:6" x14ac:dyDescent="0.3">
      <c r="A49" t="s">
        <v>30</v>
      </c>
      <c r="B49" t="s">
        <v>10</v>
      </c>
      <c r="C49">
        <v>1616182</v>
      </c>
      <c r="D49">
        <v>1251676</v>
      </c>
      <c r="E49">
        <v>70329.03</v>
      </c>
      <c r="F49">
        <v>114585.98</v>
      </c>
    </row>
    <row r="50" spans="1:6" x14ac:dyDescent="0.3">
      <c r="A50" t="s">
        <v>30</v>
      </c>
      <c r="B50" t="s">
        <v>11</v>
      </c>
      <c r="C50">
        <v>1662829</v>
      </c>
      <c r="D50">
        <v>1312873</v>
      </c>
      <c r="E50">
        <v>69486.14</v>
      </c>
      <c r="F50">
        <v>128829.74</v>
      </c>
    </row>
    <row r="51" spans="1:6" x14ac:dyDescent="0.3">
      <c r="A51" t="s">
        <v>30</v>
      </c>
      <c r="B51" t="s">
        <v>12</v>
      </c>
      <c r="C51">
        <v>1634330</v>
      </c>
      <c r="D51">
        <v>1273272</v>
      </c>
      <c r="E51">
        <v>68699.350000000006</v>
      </c>
      <c r="F51">
        <v>131681.1</v>
      </c>
    </row>
    <row r="52" spans="1:6" x14ac:dyDescent="0.3">
      <c r="A52" t="s">
        <v>30</v>
      </c>
      <c r="B52" t="s">
        <v>13</v>
      </c>
      <c r="C52">
        <v>1698688</v>
      </c>
      <c r="D52">
        <v>1341167</v>
      </c>
      <c r="E52">
        <v>69545.740000000005</v>
      </c>
      <c r="F52">
        <v>134587.07</v>
      </c>
    </row>
    <row r="53" spans="1:6" x14ac:dyDescent="0.3">
      <c r="A53" t="s">
        <v>30</v>
      </c>
      <c r="B53" t="s">
        <v>14</v>
      </c>
      <c r="C53">
        <v>1563354</v>
      </c>
      <c r="D53">
        <v>1233825</v>
      </c>
      <c r="E53">
        <v>68820.2</v>
      </c>
      <c r="F53">
        <v>120846.02</v>
      </c>
    </row>
    <row r="54" spans="1:6" x14ac:dyDescent="0.3">
      <c r="A54" t="s">
        <v>30</v>
      </c>
      <c r="B54" t="s">
        <v>15</v>
      </c>
      <c r="C54">
        <v>1575658</v>
      </c>
      <c r="D54">
        <v>1230950</v>
      </c>
      <c r="E54">
        <v>71510.77</v>
      </c>
      <c r="F54">
        <v>122580.49</v>
      </c>
    </row>
    <row r="55" spans="1:6" x14ac:dyDescent="0.3">
      <c r="A55" t="s">
        <v>30</v>
      </c>
      <c r="B55" t="s">
        <v>16</v>
      </c>
      <c r="C55">
        <v>1692982</v>
      </c>
      <c r="D55">
        <v>1335142</v>
      </c>
      <c r="E55">
        <v>69835.009999999995</v>
      </c>
      <c r="F55">
        <v>122460.19</v>
      </c>
    </row>
    <row r="56" spans="1:6" x14ac:dyDescent="0.3">
      <c r="A56" t="s">
        <v>30</v>
      </c>
      <c r="B56" t="s">
        <v>17</v>
      </c>
      <c r="C56">
        <v>1906509</v>
      </c>
      <c r="D56">
        <v>1498083</v>
      </c>
      <c r="E56">
        <v>67051.19</v>
      </c>
      <c r="F56">
        <v>126032.04</v>
      </c>
    </row>
    <row r="57" spans="1:6" x14ac:dyDescent="0.3">
      <c r="A57" t="s">
        <v>30</v>
      </c>
      <c r="B57" t="s">
        <v>18</v>
      </c>
      <c r="C57">
        <v>1684287</v>
      </c>
      <c r="D57">
        <v>1323335</v>
      </c>
      <c r="E57">
        <v>71893.740000000005</v>
      </c>
      <c r="F57">
        <v>132842.1</v>
      </c>
    </row>
    <row r="58" spans="1:6" x14ac:dyDescent="0.3">
      <c r="A58" t="s">
        <v>30</v>
      </c>
      <c r="B58" t="s">
        <v>19</v>
      </c>
      <c r="C58">
        <v>1616318</v>
      </c>
      <c r="D58">
        <v>1271925</v>
      </c>
      <c r="E58">
        <v>69324.52</v>
      </c>
      <c r="F58">
        <v>130056.53</v>
      </c>
    </row>
    <row r="59" spans="1:6" x14ac:dyDescent="0.3">
      <c r="A59" t="s">
        <v>30</v>
      </c>
      <c r="B59" t="s">
        <v>20</v>
      </c>
      <c r="C59">
        <v>1423802</v>
      </c>
      <c r="D59">
        <v>1141215</v>
      </c>
      <c r="E59">
        <v>71022.570000000007</v>
      </c>
      <c r="F59">
        <v>132857.26</v>
      </c>
    </row>
    <row r="60" spans="1:6" x14ac:dyDescent="0.3">
      <c r="A60" t="s">
        <v>30</v>
      </c>
      <c r="B60" t="s">
        <v>21</v>
      </c>
      <c r="C60">
        <v>1676185</v>
      </c>
      <c r="D60">
        <v>1360512</v>
      </c>
      <c r="E60">
        <v>68333.899999999994</v>
      </c>
      <c r="F60">
        <v>118399.64</v>
      </c>
    </row>
    <row r="61" spans="1:6" x14ac:dyDescent="0.3">
      <c r="A61" t="s">
        <v>30</v>
      </c>
      <c r="B61" t="s">
        <v>22</v>
      </c>
      <c r="C61">
        <v>1658033</v>
      </c>
      <c r="D61">
        <v>1284634</v>
      </c>
      <c r="E61">
        <v>72232.11</v>
      </c>
      <c r="F61">
        <v>112410.02</v>
      </c>
    </row>
    <row r="62" spans="1:6" x14ac:dyDescent="0.3">
      <c r="A62" t="s">
        <v>30</v>
      </c>
      <c r="B62" t="s">
        <v>23</v>
      </c>
      <c r="C62">
        <v>1407333</v>
      </c>
      <c r="D62">
        <v>1119613</v>
      </c>
      <c r="E62">
        <v>68859.7</v>
      </c>
      <c r="F62">
        <v>120254.21</v>
      </c>
    </row>
    <row r="63" spans="1:6" x14ac:dyDescent="0.3">
      <c r="A63" t="s">
        <v>30</v>
      </c>
      <c r="B63" t="s">
        <v>24</v>
      </c>
      <c r="C63">
        <v>1757324</v>
      </c>
      <c r="D63">
        <v>1380801</v>
      </c>
      <c r="E63">
        <v>68064.98</v>
      </c>
      <c r="F63">
        <v>122186.36</v>
      </c>
    </row>
    <row r="64" spans="1:6" x14ac:dyDescent="0.3">
      <c r="A64" t="s">
        <v>30</v>
      </c>
      <c r="B64" t="s">
        <v>25</v>
      </c>
      <c r="C64">
        <v>1774485</v>
      </c>
      <c r="D64">
        <v>1429488</v>
      </c>
      <c r="E64">
        <v>16211.34</v>
      </c>
      <c r="F64">
        <v>27592.6</v>
      </c>
    </row>
    <row r="65" spans="1:6" x14ac:dyDescent="0.3">
      <c r="A65" t="s">
        <v>30</v>
      </c>
      <c r="B65" t="s">
        <v>26</v>
      </c>
      <c r="C65">
        <v>1633090</v>
      </c>
      <c r="D65">
        <v>1297476</v>
      </c>
      <c r="E65">
        <v>16221.97</v>
      </c>
      <c r="F65">
        <v>30257.14</v>
      </c>
    </row>
    <row r="66" spans="1:6" x14ac:dyDescent="0.3">
      <c r="A66" t="s">
        <v>30</v>
      </c>
      <c r="B66" t="s">
        <v>27</v>
      </c>
      <c r="C66">
        <v>1486866</v>
      </c>
      <c r="D66">
        <v>1163557</v>
      </c>
      <c r="E66">
        <v>16534.93</v>
      </c>
      <c r="F66">
        <v>29008.07</v>
      </c>
    </row>
    <row r="67" spans="1:6" x14ac:dyDescent="0.3">
      <c r="A67" t="s">
        <v>30</v>
      </c>
      <c r="B67" t="s">
        <v>28</v>
      </c>
      <c r="C67">
        <v>1562362</v>
      </c>
      <c r="D67">
        <v>1267692</v>
      </c>
      <c r="E67">
        <v>15877.3</v>
      </c>
      <c r="F67">
        <v>29235.599999999999</v>
      </c>
    </row>
    <row r="68" spans="1:6" x14ac:dyDescent="0.3">
      <c r="A68" t="s">
        <v>30</v>
      </c>
      <c r="B68" t="s">
        <v>31</v>
      </c>
      <c r="C68">
        <v>1352125</v>
      </c>
      <c r="D68">
        <v>1069780</v>
      </c>
      <c r="E68">
        <v>11109.12</v>
      </c>
      <c r="F68">
        <v>28491.24</v>
      </c>
    </row>
    <row r="69" spans="1:6" x14ac:dyDescent="0.3">
      <c r="A69" t="s">
        <v>30</v>
      </c>
      <c r="B69" t="s">
        <v>32</v>
      </c>
      <c r="C69">
        <v>1798724</v>
      </c>
      <c r="D69">
        <v>1405915</v>
      </c>
      <c r="E69">
        <v>15318.33</v>
      </c>
      <c r="F69">
        <v>24870.58</v>
      </c>
    </row>
    <row r="70" spans="1:6" x14ac:dyDescent="0.3">
      <c r="A70" t="s">
        <v>33</v>
      </c>
      <c r="B70" t="s">
        <v>7</v>
      </c>
      <c r="C70">
        <v>1589712</v>
      </c>
      <c r="D70">
        <v>1204084</v>
      </c>
      <c r="E70">
        <v>66765.070000000007</v>
      </c>
      <c r="F70">
        <v>112783.5</v>
      </c>
    </row>
    <row r="71" spans="1:6" x14ac:dyDescent="0.3">
      <c r="A71" t="s">
        <v>33</v>
      </c>
      <c r="B71" t="s">
        <v>8</v>
      </c>
      <c r="C71">
        <v>1645911</v>
      </c>
      <c r="D71">
        <v>1315053</v>
      </c>
      <c r="E71">
        <v>66997.33</v>
      </c>
      <c r="F71">
        <v>137225.82999999999</v>
      </c>
    </row>
    <row r="72" spans="1:6" x14ac:dyDescent="0.3">
      <c r="A72" t="s">
        <v>33</v>
      </c>
      <c r="B72" t="s">
        <v>9</v>
      </c>
      <c r="C72">
        <v>1343985</v>
      </c>
      <c r="D72">
        <v>1032782</v>
      </c>
      <c r="E72">
        <v>68704.990000000005</v>
      </c>
      <c r="F72">
        <v>125104.75</v>
      </c>
    </row>
    <row r="73" spans="1:6" x14ac:dyDescent="0.3">
      <c r="A73" t="s">
        <v>33</v>
      </c>
      <c r="B73" t="s">
        <v>10</v>
      </c>
      <c r="C73">
        <v>1454764</v>
      </c>
      <c r="D73">
        <v>1114992</v>
      </c>
      <c r="E73">
        <v>66724.75</v>
      </c>
      <c r="F73">
        <v>135748.42000000001</v>
      </c>
    </row>
    <row r="74" spans="1:6" x14ac:dyDescent="0.3">
      <c r="A74" t="s">
        <v>33</v>
      </c>
      <c r="B74" t="s">
        <v>11</v>
      </c>
      <c r="C74">
        <v>1351596</v>
      </c>
      <c r="D74">
        <v>1059478</v>
      </c>
      <c r="E74">
        <v>71109.38</v>
      </c>
      <c r="F74">
        <v>124543.99</v>
      </c>
    </row>
    <row r="75" spans="1:6" x14ac:dyDescent="0.3">
      <c r="A75" t="s">
        <v>33</v>
      </c>
      <c r="B75" t="s">
        <v>12</v>
      </c>
      <c r="C75">
        <v>1575417</v>
      </c>
      <c r="D75">
        <v>1249887</v>
      </c>
      <c r="E75">
        <v>67167.34</v>
      </c>
      <c r="F75">
        <v>125339.29</v>
      </c>
    </row>
    <row r="76" spans="1:6" x14ac:dyDescent="0.3">
      <c r="A76" t="s">
        <v>33</v>
      </c>
      <c r="B76" t="s">
        <v>13</v>
      </c>
      <c r="C76">
        <v>1512502</v>
      </c>
      <c r="D76">
        <v>1208734</v>
      </c>
      <c r="E76">
        <v>65982.350000000006</v>
      </c>
      <c r="F76">
        <v>132124.62</v>
      </c>
    </row>
    <row r="77" spans="1:6" x14ac:dyDescent="0.3">
      <c r="A77" t="s">
        <v>33</v>
      </c>
      <c r="B77" t="s">
        <v>14</v>
      </c>
      <c r="C77">
        <v>1407744</v>
      </c>
      <c r="D77">
        <v>1131241</v>
      </c>
      <c r="E77">
        <v>66030</v>
      </c>
      <c r="F77">
        <v>121439.42</v>
      </c>
    </row>
    <row r="78" spans="1:6" x14ac:dyDescent="0.3">
      <c r="A78" t="s">
        <v>33</v>
      </c>
      <c r="B78" t="s">
        <v>15</v>
      </c>
      <c r="C78">
        <v>1552628</v>
      </c>
      <c r="D78">
        <v>1197647</v>
      </c>
      <c r="E78">
        <v>67274.58</v>
      </c>
      <c r="F78">
        <v>122313.83</v>
      </c>
    </row>
    <row r="79" spans="1:6" x14ac:dyDescent="0.3">
      <c r="A79" t="s">
        <v>33</v>
      </c>
      <c r="B79" t="s">
        <v>16</v>
      </c>
      <c r="C79">
        <v>1522490</v>
      </c>
      <c r="D79">
        <v>1190150</v>
      </c>
      <c r="E79">
        <v>66272.91</v>
      </c>
      <c r="F79">
        <v>132529.98000000001</v>
      </c>
    </row>
    <row r="80" spans="1:6" x14ac:dyDescent="0.3">
      <c r="A80" t="s">
        <v>33</v>
      </c>
      <c r="B80" t="s">
        <v>17</v>
      </c>
      <c r="C80">
        <v>1599932</v>
      </c>
      <c r="D80">
        <v>1251628</v>
      </c>
      <c r="E80">
        <v>66867.039999999994</v>
      </c>
      <c r="F80">
        <v>111155.03</v>
      </c>
    </row>
    <row r="81" spans="1:6" x14ac:dyDescent="0.3">
      <c r="A81" t="s">
        <v>33</v>
      </c>
      <c r="B81" t="s">
        <v>18</v>
      </c>
      <c r="C81">
        <v>1457551</v>
      </c>
      <c r="D81">
        <v>1133958</v>
      </c>
      <c r="E81">
        <v>67156.27</v>
      </c>
      <c r="F81">
        <v>120417.51</v>
      </c>
    </row>
    <row r="82" spans="1:6" x14ac:dyDescent="0.3">
      <c r="A82" t="s">
        <v>33</v>
      </c>
      <c r="B82" t="s">
        <v>19</v>
      </c>
      <c r="C82">
        <v>1592711</v>
      </c>
      <c r="D82">
        <v>1256504</v>
      </c>
      <c r="E82">
        <v>69623.13</v>
      </c>
      <c r="F82">
        <v>119711.27</v>
      </c>
    </row>
    <row r="83" spans="1:6" x14ac:dyDescent="0.3">
      <c r="A83" t="s">
        <v>33</v>
      </c>
      <c r="B83" t="s">
        <v>20</v>
      </c>
      <c r="C83">
        <v>1541443</v>
      </c>
      <c r="D83">
        <v>1210745</v>
      </c>
      <c r="E83">
        <v>68131.45</v>
      </c>
      <c r="F83">
        <v>136332.76</v>
      </c>
    </row>
    <row r="84" spans="1:6" x14ac:dyDescent="0.3">
      <c r="A84" t="s">
        <v>33</v>
      </c>
      <c r="B84" t="s">
        <v>21</v>
      </c>
      <c r="C84">
        <v>1641300</v>
      </c>
      <c r="D84">
        <v>1264993</v>
      </c>
      <c r="E84">
        <v>66344.259999999995</v>
      </c>
      <c r="F84">
        <v>111377.75</v>
      </c>
    </row>
    <row r="85" spans="1:6" x14ac:dyDescent="0.3">
      <c r="A85" t="s">
        <v>33</v>
      </c>
      <c r="B85" t="s">
        <v>22</v>
      </c>
      <c r="C85">
        <v>1615732</v>
      </c>
      <c r="D85">
        <v>1263292</v>
      </c>
      <c r="E85">
        <v>65426.559999999998</v>
      </c>
      <c r="F85">
        <v>131909.56</v>
      </c>
    </row>
    <row r="86" spans="1:6" x14ac:dyDescent="0.3">
      <c r="A86" t="s">
        <v>33</v>
      </c>
      <c r="B86" t="s">
        <v>23</v>
      </c>
      <c r="C86">
        <v>1543370</v>
      </c>
      <c r="D86">
        <v>1203332</v>
      </c>
      <c r="E86">
        <v>68123.75</v>
      </c>
      <c r="F86">
        <v>117748.49</v>
      </c>
    </row>
    <row r="87" spans="1:6" x14ac:dyDescent="0.3">
      <c r="A87" t="s">
        <v>33</v>
      </c>
      <c r="B87" t="s">
        <v>24</v>
      </c>
      <c r="C87">
        <v>1582907</v>
      </c>
      <c r="D87">
        <v>1224441</v>
      </c>
      <c r="E87">
        <v>68473.210000000006</v>
      </c>
      <c r="F87">
        <v>117509.07</v>
      </c>
    </row>
    <row r="88" spans="1:6" x14ac:dyDescent="0.3">
      <c r="A88" t="s">
        <v>33</v>
      </c>
      <c r="B88" t="s">
        <v>25</v>
      </c>
      <c r="C88">
        <v>1399160</v>
      </c>
      <c r="D88">
        <v>1117819</v>
      </c>
      <c r="E88">
        <v>15741.63</v>
      </c>
      <c r="F88">
        <v>29923.33</v>
      </c>
    </row>
    <row r="89" spans="1:6" x14ac:dyDescent="0.3">
      <c r="A89" t="s">
        <v>33</v>
      </c>
      <c r="B89" t="s">
        <v>26</v>
      </c>
      <c r="C89">
        <v>1555715</v>
      </c>
      <c r="D89">
        <v>1211553</v>
      </c>
      <c r="E89">
        <v>15718.42</v>
      </c>
      <c r="F89">
        <v>27184.99</v>
      </c>
    </row>
    <row r="90" spans="1:6" x14ac:dyDescent="0.3">
      <c r="A90" t="s">
        <v>33</v>
      </c>
      <c r="B90" t="s">
        <v>27</v>
      </c>
      <c r="C90">
        <v>1485900</v>
      </c>
      <c r="D90">
        <v>1149220</v>
      </c>
      <c r="E90">
        <v>16239.86</v>
      </c>
      <c r="F90">
        <v>27362.12</v>
      </c>
    </row>
    <row r="91" spans="1:6" x14ac:dyDescent="0.3">
      <c r="A91" t="s">
        <v>33</v>
      </c>
      <c r="B91" t="s">
        <v>28</v>
      </c>
      <c r="C91">
        <v>1574403</v>
      </c>
      <c r="D91">
        <v>1208463</v>
      </c>
      <c r="E91">
        <v>16010.21</v>
      </c>
      <c r="F91">
        <v>28277</v>
      </c>
    </row>
    <row r="92" spans="1:6" x14ac:dyDescent="0.3">
      <c r="A92" t="s">
        <v>33</v>
      </c>
      <c r="B92" t="s">
        <v>31</v>
      </c>
      <c r="C92">
        <v>2106742</v>
      </c>
      <c r="D92">
        <v>1630688</v>
      </c>
      <c r="E92">
        <v>15418.73</v>
      </c>
      <c r="F92">
        <v>29218.86</v>
      </c>
    </row>
    <row r="93" spans="1:6" x14ac:dyDescent="0.3">
      <c r="A93" t="s">
        <v>33</v>
      </c>
      <c r="B93" t="s">
        <v>32</v>
      </c>
      <c r="C93">
        <v>1694643</v>
      </c>
      <c r="D93">
        <v>1329886</v>
      </c>
      <c r="E93">
        <v>16090.53</v>
      </c>
      <c r="F93">
        <v>28140</v>
      </c>
    </row>
    <row r="94" spans="1:6" x14ac:dyDescent="0.3">
      <c r="A94" t="s">
        <v>34</v>
      </c>
      <c r="B94" t="s">
        <v>7</v>
      </c>
      <c r="C94">
        <v>1418332</v>
      </c>
      <c r="D94">
        <v>1110959</v>
      </c>
      <c r="E94">
        <v>69891.05</v>
      </c>
      <c r="F94">
        <v>133888.68</v>
      </c>
    </row>
    <row r="95" spans="1:6" x14ac:dyDescent="0.3">
      <c r="A95" t="s">
        <v>34</v>
      </c>
      <c r="B95" t="s">
        <v>8</v>
      </c>
      <c r="C95">
        <v>1655253</v>
      </c>
      <c r="D95">
        <v>1289987</v>
      </c>
      <c r="E95">
        <v>69922.92</v>
      </c>
      <c r="F95">
        <v>132149.35</v>
      </c>
    </row>
    <row r="96" spans="1:6" x14ac:dyDescent="0.3">
      <c r="A96" t="s">
        <v>34</v>
      </c>
      <c r="B96" t="s">
        <v>9</v>
      </c>
      <c r="C96">
        <v>1665196</v>
      </c>
      <c r="D96">
        <v>1309589</v>
      </c>
      <c r="E96">
        <v>69130.91</v>
      </c>
      <c r="F96">
        <v>115360.27</v>
      </c>
    </row>
    <row r="97" spans="1:6" x14ac:dyDescent="0.3">
      <c r="A97" t="s">
        <v>34</v>
      </c>
      <c r="B97" t="s">
        <v>10</v>
      </c>
      <c r="C97">
        <v>1519311</v>
      </c>
      <c r="D97">
        <v>1175890</v>
      </c>
      <c r="E97">
        <v>70396.210000000006</v>
      </c>
      <c r="F97">
        <v>126828.84</v>
      </c>
    </row>
    <row r="98" spans="1:6" x14ac:dyDescent="0.3">
      <c r="A98" t="s">
        <v>34</v>
      </c>
      <c r="B98" t="s">
        <v>11</v>
      </c>
      <c r="C98">
        <v>1647599</v>
      </c>
      <c r="D98">
        <v>1310669</v>
      </c>
      <c r="E98">
        <v>70871.740000000005</v>
      </c>
      <c r="F98">
        <v>133704.57</v>
      </c>
    </row>
    <row r="99" spans="1:6" x14ac:dyDescent="0.3">
      <c r="A99" t="s">
        <v>34</v>
      </c>
      <c r="B99" t="s">
        <v>12</v>
      </c>
      <c r="C99">
        <v>1490546</v>
      </c>
      <c r="D99">
        <v>1163545</v>
      </c>
      <c r="E99">
        <v>71487.61</v>
      </c>
      <c r="F99">
        <v>120445.96</v>
      </c>
    </row>
    <row r="100" spans="1:6" x14ac:dyDescent="0.3">
      <c r="A100" t="s">
        <v>34</v>
      </c>
      <c r="B100" t="s">
        <v>13</v>
      </c>
      <c r="C100">
        <v>1623299</v>
      </c>
      <c r="D100">
        <v>1274768</v>
      </c>
      <c r="E100">
        <v>66451.86</v>
      </c>
      <c r="F100">
        <v>132433.71</v>
      </c>
    </row>
    <row r="101" spans="1:6" x14ac:dyDescent="0.3">
      <c r="A101" t="s">
        <v>34</v>
      </c>
      <c r="B101" t="s">
        <v>14</v>
      </c>
      <c r="C101">
        <v>1620851</v>
      </c>
      <c r="D101">
        <v>1289441</v>
      </c>
      <c r="E101">
        <v>69172.81</v>
      </c>
      <c r="F101">
        <v>111692.24</v>
      </c>
    </row>
    <row r="102" spans="1:6" x14ac:dyDescent="0.3">
      <c r="A102" t="s">
        <v>34</v>
      </c>
      <c r="B102" t="s">
        <v>15</v>
      </c>
      <c r="C102">
        <v>1540484</v>
      </c>
      <c r="D102">
        <v>1220598</v>
      </c>
      <c r="E102">
        <v>67850.039999999994</v>
      </c>
      <c r="F102">
        <v>113922.2</v>
      </c>
    </row>
    <row r="103" spans="1:6" x14ac:dyDescent="0.3">
      <c r="A103" t="s">
        <v>34</v>
      </c>
      <c r="B103" t="s">
        <v>16</v>
      </c>
      <c r="C103">
        <v>1523740</v>
      </c>
      <c r="D103">
        <v>1191540</v>
      </c>
      <c r="E103">
        <v>68559.789999999994</v>
      </c>
      <c r="F103">
        <v>121557</v>
      </c>
    </row>
    <row r="104" spans="1:6" x14ac:dyDescent="0.3">
      <c r="A104" t="s">
        <v>34</v>
      </c>
      <c r="B104" t="s">
        <v>17</v>
      </c>
      <c r="C104">
        <v>1660830</v>
      </c>
      <c r="D104">
        <v>1296383</v>
      </c>
      <c r="E104">
        <v>71074.929999999993</v>
      </c>
      <c r="F104">
        <v>135034.13</v>
      </c>
    </row>
    <row r="105" spans="1:6" x14ac:dyDescent="0.3">
      <c r="A105" t="s">
        <v>34</v>
      </c>
      <c r="B105" t="s">
        <v>18</v>
      </c>
      <c r="C105">
        <v>1763434</v>
      </c>
      <c r="D105">
        <v>1373101</v>
      </c>
      <c r="E105">
        <v>70492.320000000007</v>
      </c>
      <c r="F105">
        <v>121834.45</v>
      </c>
    </row>
    <row r="106" spans="1:6" x14ac:dyDescent="0.3">
      <c r="A106" t="s">
        <v>34</v>
      </c>
      <c r="B106" t="s">
        <v>19</v>
      </c>
      <c r="C106">
        <v>1523467</v>
      </c>
      <c r="D106">
        <v>1188505</v>
      </c>
      <c r="E106">
        <v>69415.25</v>
      </c>
      <c r="F106">
        <v>138673.91</v>
      </c>
    </row>
    <row r="107" spans="1:6" x14ac:dyDescent="0.3">
      <c r="A107" t="s">
        <v>34</v>
      </c>
      <c r="B107" t="s">
        <v>20</v>
      </c>
      <c r="C107">
        <v>1511159</v>
      </c>
      <c r="D107">
        <v>1216031</v>
      </c>
      <c r="E107">
        <v>71895.62</v>
      </c>
      <c r="F107">
        <v>112470.03</v>
      </c>
    </row>
    <row r="108" spans="1:6" x14ac:dyDescent="0.3">
      <c r="A108" t="s">
        <v>34</v>
      </c>
      <c r="B108" t="s">
        <v>21</v>
      </c>
      <c r="C108">
        <v>1482024</v>
      </c>
      <c r="D108">
        <v>1188307</v>
      </c>
      <c r="E108">
        <v>69495.600000000006</v>
      </c>
      <c r="F108">
        <v>118238.52</v>
      </c>
    </row>
    <row r="109" spans="1:6" x14ac:dyDescent="0.3">
      <c r="A109" t="s">
        <v>34</v>
      </c>
      <c r="B109" t="s">
        <v>22</v>
      </c>
      <c r="C109">
        <v>1501300</v>
      </c>
      <c r="D109">
        <v>1211278</v>
      </c>
      <c r="E109">
        <v>68538.399999999994</v>
      </c>
      <c r="F109">
        <v>133130.26</v>
      </c>
    </row>
    <row r="110" spans="1:6" x14ac:dyDescent="0.3">
      <c r="A110" t="s">
        <v>34</v>
      </c>
      <c r="B110" t="s">
        <v>23</v>
      </c>
      <c r="C110">
        <v>1576972</v>
      </c>
      <c r="D110">
        <v>1269204</v>
      </c>
      <c r="E110">
        <v>70005.94</v>
      </c>
      <c r="F110">
        <v>125502.37</v>
      </c>
    </row>
    <row r="111" spans="1:6" x14ac:dyDescent="0.3">
      <c r="A111" t="s">
        <v>34</v>
      </c>
      <c r="B111" t="s">
        <v>24</v>
      </c>
      <c r="C111">
        <v>1536135</v>
      </c>
      <c r="D111">
        <v>1242446</v>
      </c>
      <c r="E111">
        <v>70127.83</v>
      </c>
      <c r="F111">
        <v>114052.82</v>
      </c>
    </row>
    <row r="112" spans="1:6" x14ac:dyDescent="0.3">
      <c r="A112" t="s">
        <v>34</v>
      </c>
      <c r="B112" t="s">
        <v>25</v>
      </c>
      <c r="C112">
        <v>1511011</v>
      </c>
      <c r="D112">
        <v>1193966</v>
      </c>
      <c r="E112">
        <v>16438.87</v>
      </c>
      <c r="F112">
        <v>28202.09</v>
      </c>
    </row>
    <row r="113" spans="1:6" x14ac:dyDescent="0.3">
      <c r="A113" t="s">
        <v>34</v>
      </c>
      <c r="B113" t="s">
        <v>26</v>
      </c>
      <c r="C113">
        <v>1680157</v>
      </c>
      <c r="D113">
        <v>1319489</v>
      </c>
      <c r="E113">
        <v>16100.49</v>
      </c>
      <c r="F113">
        <v>30700.52</v>
      </c>
    </row>
    <row r="114" spans="1:6" x14ac:dyDescent="0.3">
      <c r="A114" t="s">
        <v>34</v>
      </c>
      <c r="B114" t="s">
        <v>27</v>
      </c>
      <c r="C114">
        <v>1642821</v>
      </c>
      <c r="D114">
        <v>1312951</v>
      </c>
      <c r="E114">
        <v>16035.52</v>
      </c>
      <c r="F114">
        <v>25807.68</v>
      </c>
    </row>
    <row r="115" spans="1:6" x14ac:dyDescent="0.3">
      <c r="A115" t="s">
        <v>34</v>
      </c>
      <c r="B115" t="s">
        <v>28</v>
      </c>
      <c r="C115">
        <v>1789962</v>
      </c>
      <c r="D115">
        <v>1393451</v>
      </c>
      <c r="E115">
        <v>16325.52</v>
      </c>
      <c r="F115">
        <v>27073.49</v>
      </c>
    </row>
    <row r="116" spans="1:6" x14ac:dyDescent="0.3">
      <c r="A116" t="s">
        <v>34</v>
      </c>
      <c r="B116" t="s">
        <v>31</v>
      </c>
      <c r="C116">
        <v>1986691</v>
      </c>
      <c r="D116">
        <v>1545615</v>
      </c>
      <c r="E116">
        <v>16591.990000000002</v>
      </c>
      <c r="F116">
        <v>26614.97</v>
      </c>
    </row>
    <row r="117" spans="1:6" x14ac:dyDescent="0.3">
      <c r="A117" t="s">
        <v>34</v>
      </c>
      <c r="B117" t="s">
        <v>32</v>
      </c>
      <c r="C117">
        <v>1924741</v>
      </c>
      <c r="D117">
        <v>1532725</v>
      </c>
      <c r="E117">
        <v>16190.59</v>
      </c>
      <c r="F117">
        <v>25758.94</v>
      </c>
    </row>
    <row r="118" spans="1:6" x14ac:dyDescent="0.3">
      <c r="A118" t="s">
        <v>35</v>
      </c>
      <c r="B118" t="s">
        <v>7</v>
      </c>
      <c r="C118">
        <v>1587027</v>
      </c>
      <c r="D118">
        <v>1262288</v>
      </c>
      <c r="E118">
        <v>69719.42</v>
      </c>
      <c r="F118">
        <v>115412.8</v>
      </c>
    </row>
    <row r="119" spans="1:6" x14ac:dyDescent="0.3">
      <c r="A119" t="s">
        <v>35</v>
      </c>
      <c r="B119" t="s">
        <v>8</v>
      </c>
      <c r="C119">
        <v>1554170</v>
      </c>
      <c r="D119">
        <v>1214371</v>
      </c>
      <c r="E119">
        <v>66021.14</v>
      </c>
      <c r="F119">
        <v>112862.31</v>
      </c>
    </row>
    <row r="120" spans="1:6" x14ac:dyDescent="0.3">
      <c r="A120" t="s">
        <v>35</v>
      </c>
      <c r="B120" t="s">
        <v>9</v>
      </c>
      <c r="C120">
        <v>1525339</v>
      </c>
      <c r="D120">
        <v>1203144</v>
      </c>
      <c r="E120">
        <v>66565.31</v>
      </c>
      <c r="F120">
        <v>126511.03</v>
      </c>
    </row>
    <row r="121" spans="1:6" x14ac:dyDescent="0.3">
      <c r="A121" t="s">
        <v>35</v>
      </c>
      <c r="B121" t="s">
        <v>10</v>
      </c>
      <c r="C121">
        <v>1563570</v>
      </c>
      <c r="D121">
        <v>1210140</v>
      </c>
      <c r="E121">
        <v>69279.95</v>
      </c>
      <c r="F121">
        <v>130272.59</v>
      </c>
    </row>
    <row r="122" spans="1:6" x14ac:dyDescent="0.3">
      <c r="A122" t="s">
        <v>35</v>
      </c>
      <c r="B122" t="s">
        <v>11</v>
      </c>
      <c r="C122">
        <v>1593915</v>
      </c>
      <c r="D122">
        <v>1227185</v>
      </c>
      <c r="E122">
        <v>65509.01</v>
      </c>
      <c r="F122">
        <v>132287.71</v>
      </c>
    </row>
    <row r="123" spans="1:6" x14ac:dyDescent="0.3">
      <c r="A123" t="s">
        <v>35</v>
      </c>
      <c r="B123" t="s">
        <v>12</v>
      </c>
      <c r="C123">
        <v>1623915</v>
      </c>
      <c r="D123">
        <v>1260330</v>
      </c>
      <c r="E123">
        <v>68617.25</v>
      </c>
      <c r="F123">
        <v>130226.32</v>
      </c>
    </row>
    <row r="124" spans="1:6" x14ac:dyDescent="0.3">
      <c r="A124" t="s">
        <v>35</v>
      </c>
      <c r="B124" t="s">
        <v>13</v>
      </c>
      <c r="C124">
        <v>1561658</v>
      </c>
      <c r="D124">
        <v>1222834</v>
      </c>
      <c r="E124">
        <v>66185.2</v>
      </c>
      <c r="F124">
        <v>135699.97</v>
      </c>
    </row>
    <row r="125" spans="1:6" x14ac:dyDescent="0.3">
      <c r="A125" t="s">
        <v>35</v>
      </c>
      <c r="B125" t="s">
        <v>14</v>
      </c>
      <c r="C125">
        <v>1539345</v>
      </c>
      <c r="D125">
        <v>1192166</v>
      </c>
      <c r="E125">
        <v>66800.600000000006</v>
      </c>
      <c r="F125">
        <v>112225.9</v>
      </c>
    </row>
    <row r="126" spans="1:6" x14ac:dyDescent="0.3">
      <c r="A126" t="s">
        <v>35</v>
      </c>
      <c r="B126" t="s">
        <v>15</v>
      </c>
      <c r="C126">
        <v>1519957</v>
      </c>
      <c r="D126">
        <v>1207355</v>
      </c>
      <c r="E126">
        <v>67916.23</v>
      </c>
      <c r="F126">
        <v>117709.28</v>
      </c>
    </row>
    <row r="127" spans="1:6" x14ac:dyDescent="0.3">
      <c r="A127" t="s">
        <v>35</v>
      </c>
      <c r="B127" t="s">
        <v>16</v>
      </c>
      <c r="C127">
        <v>1601915</v>
      </c>
      <c r="D127">
        <v>1245895</v>
      </c>
      <c r="E127">
        <v>68967.23</v>
      </c>
      <c r="F127">
        <v>122586.11</v>
      </c>
    </row>
    <row r="128" spans="1:6" x14ac:dyDescent="0.3">
      <c r="A128" t="s">
        <v>35</v>
      </c>
      <c r="B128" t="s">
        <v>17</v>
      </c>
      <c r="C128">
        <v>1494161</v>
      </c>
      <c r="D128">
        <v>1174317</v>
      </c>
      <c r="E128">
        <v>69322.880000000005</v>
      </c>
      <c r="F128">
        <v>111990.46</v>
      </c>
    </row>
    <row r="129" spans="1:6" x14ac:dyDescent="0.3">
      <c r="A129" t="s">
        <v>35</v>
      </c>
      <c r="B129" t="s">
        <v>18</v>
      </c>
      <c r="C129">
        <v>1403769</v>
      </c>
      <c r="D129">
        <v>1082913</v>
      </c>
      <c r="E129">
        <v>67405.850000000006</v>
      </c>
      <c r="F129">
        <v>115018.43</v>
      </c>
    </row>
    <row r="130" spans="1:6" x14ac:dyDescent="0.3">
      <c r="A130" t="s">
        <v>35</v>
      </c>
      <c r="B130" t="s">
        <v>19</v>
      </c>
      <c r="C130">
        <v>1512649</v>
      </c>
      <c r="D130">
        <v>1171853</v>
      </c>
      <c r="E130">
        <v>68233.89</v>
      </c>
      <c r="F130">
        <v>110653</v>
      </c>
    </row>
    <row r="131" spans="1:6" x14ac:dyDescent="0.3">
      <c r="A131" t="s">
        <v>35</v>
      </c>
      <c r="B131" t="s">
        <v>20</v>
      </c>
      <c r="C131">
        <v>1729618</v>
      </c>
      <c r="D131">
        <v>1336940</v>
      </c>
      <c r="E131">
        <v>65782.89</v>
      </c>
      <c r="F131">
        <v>139704.48000000001</v>
      </c>
    </row>
    <row r="132" spans="1:6" x14ac:dyDescent="0.3">
      <c r="A132" t="s">
        <v>35</v>
      </c>
      <c r="B132" t="s">
        <v>21</v>
      </c>
      <c r="C132">
        <v>1353249</v>
      </c>
      <c r="D132">
        <v>1071621</v>
      </c>
      <c r="E132">
        <v>65582.490000000005</v>
      </c>
      <c r="F132">
        <v>137095.32999999999</v>
      </c>
    </row>
    <row r="133" spans="1:6" x14ac:dyDescent="0.3">
      <c r="A133" t="s">
        <v>35</v>
      </c>
      <c r="B133" t="s">
        <v>22</v>
      </c>
      <c r="C133">
        <v>1481438</v>
      </c>
      <c r="D133">
        <v>1190758</v>
      </c>
      <c r="E133">
        <v>67055.850000000006</v>
      </c>
      <c r="F133">
        <v>118511.01</v>
      </c>
    </row>
    <row r="134" spans="1:6" x14ac:dyDescent="0.3">
      <c r="A134" t="s">
        <v>35</v>
      </c>
      <c r="B134" t="s">
        <v>23</v>
      </c>
      <c r="C134">
        <v>1495745</v>
      </c>
      <c r="D134">
        <v>1183070</v>
      </c>
      <c r="E134">
        <v>65751.899999999994</v>
      </c>
      <c r="F134">
        <v>130392.01</v>
      </c>
    </row>
    <row r="135" spans="1:6" x14ac:dyDescent="0.3">
      <c r="A135" t="s">
        <v>35</v>
      </c>
      <c r="B135" t="s">
        <v>24</v>
      </c>
      <c r="C135">
        <v>1623528</v>
      </c>
      <c r="D135">
        <v>1256815</v>
      </c>
      <c r="E135">
        <v>68556.62</v>
      </c>
      <c r="F135">
        <v>130674.27</v>
      </c>
    </row>
    <row r="136" spans="1:6" x14ac:dyDescent="0.3">
      <c r="A136" t="s">
        <v>35</v>
      </c>
      <c r="B136" t="s">
        <v>25</v>
      </c>
      <c r="C136">
        <v>1530122</v>
      </c>
      <c r="D136">
        <v>1230346</v>
      </c>
      <c r="E136">
        <v>15822.74</v>
      </c>
      <c r="F136">
        <v>30442.13</v>
      </c>
    </row>
    <row r="137" spans="1:6" x14ac:dyDescent="0.3">
      <c r="A137" t="s">
        <v>35</v>
      </c>
      <c r="B137" t="s">
        <v>26</v>
      </c>
      <c r="C137">
        <v>1682404</v>
      </c>
      <c r="D137">
        <v>1305863</v>
      </c>
      <c r="E137">
        <v>16340.64</v>
      </c>
      <c r="F137">
        <v>26356.240000000002</v>
      </c>
    </row>
    <row r="138" spans="1:6" x14ac:dyDescent="0.3">
      <c r="A138" t="s">
        <v>35</v>
      </c>
      <c r="B138" t="s">
        <v>27</v>
      </c>
      <c r="C138">
        <v>1607492</v>
      </c>
      <c r="D138">
        <v>1269621</v>
      </c>
      <c r="E138">
        <v>15727.15</v>
      </c>
      <c r="F138">
        <v>29538.09</v>
      </c>
    </row>
    <row r="139" spans="1:6" x14ac:dyDescent="0.3">
      <c r="A139" t="s">
        <v>35</v>
      </c>
      <c r="B139" t="s">
        <v>28</v>
      </c>
      <c r="C139">
        <v>1459175</v>
      </c>
      <c r="D139">
        <v>1159675</v>
      </c>
      <c r="E139">
        <v>15818.22</v>
      </c>
      <c r="F139">
        <v>25772.74</v>
      </c>
    </row>
    <row r="140" spans="1:6" x14ac:dyDescent="0.3">
      <c r="A140" t="s">
        <v>35</v>
      </c>
      <c r="B140" t="s">
        <v>31</v>
      </c>
      <c r="C140">
        <v>1858269</v>
      </c>
      <c r="D140">
        <v>1484662</v>
      </c>
      <c r="E140">
        <v>15137.87</v>
      </c>
      <c r="F140">
        <v>26546.76</v>
      </c>
    </row>
    <row r="141" spans="1:6" x14ac:dyDescent="0.3">
      <c r="A141" t="s">
        <v>35</v>
      </c>
      <c r="B141" t="s">
        <v>32</v>
      </c>
      <c r="C141">
        <v>1799817</v>
      </c>
      <c r="D141">
        <v>1451998</v>
      </c>
      <c r="E141">
        <v>16012.92</v>
      </c>
      <c r="F141">
        <v>25514.45</v>
      </c>
    </row>
    <row r="142" spans="1:6" x14ac:dyDescent="0.3">
      <c r="A142" t="s">
        <v>36</v>
      </c>
      <c r="B142" t="s">
        <v>7</v>
      </c>
      <c r="C142">
        <v>1685952</v>
      </c>
      <c r="D142">
        <v>1279116</v>
      </c>
      <c r="E142">
        <v>67254.22</v>
      </c>
      <c r="F142">
        <v>122557.32</v>
      </c>
    </row>
    <row r="143" spans="1:6" x14ac:dyDescent="0.3">
      <c r="A143" t="s">
        <v>36</v>
      </c>
      <c r="B143" t="s">
        <v>8</v>
      </c>
      <c r="C143">
        <v>1565713</v>
      </c>
      <c r="D143">
        <v>1238936</v>
      </c>
      <c r="E143">
        <v>69098.7</v>
      </c>
      <c r="F143">
        <v>138268.9</v>
      </c>
    </row>
    <row r="144" spans="1:6" x14ac:dyDescent="0.3">
      <c r="A144" t="s">
        <v>36</v>
      </c>
      <c r="B144" t="s">
        <v>9</v>
      </c>
      <c r="C144">
        <v>1527725</v>
      </c>
      <c r="D144">
        <v>1214785</v>
      </c>
      <c r="E144">
        <v>70480.77</v>
      </c>
      <c r="F144">
        <v>111364.32</v>
      </c>
    </row>
    <row r="145" spans="1:6" x14ac:dyDescent="0.3">
      <c r="A145" t="s">
        <v>36</v>
      </c>
      <c r="B145" t="s">
        <v>10</v>
      </c>
      <c r="C145">
        <v>1820591</v>
      </c>
      <c r="D145">
        <v>1414226</v>
      </c>
      <c r="E145">
        <v>69058.16</v>
      </c>
      <c r="F145">
        <v>123508</v>
      </c>
    </row>
    <row r="146" spans="1:6" x14ac:dyDescent="0.3">
      <c r="A146" t="s">
        <v>36</v>
      </c>
      <c r="B146" t="s">
        <v>11</v>
      </c>
      <c r="C146">
        <v>1714903</v>
      </c>
      <c r="D146">
        <v>1342604</v>
      </c>
      <c r="E146">
        <v>69485.740000000005</v>
      </c>
      <c r="F146">
        <v>117445.1</v>
      </c>
    </row>
    <row r="147" spans="1:6" x14ac:dyDescent="0.3">
      <c r="A147" t="s">
        <v>36</v>
      </c>
      <c r="B147" t="s">
        <v>12</v>
      </c>
      <c r="C147">
        <v>1654049</v>
      </c>
      <c r="D147">
        <v>1322901</v>
      </c>
      <c r="E147">
        <v>68176.97</v>
      </c>
      <c r="F147">
        <v>123814.13</v>
      </c>
    </row>
    <row r="148" spans="1:6" x14ac:dyDescent="0.3">
      <c r="A148" t="s">
        <v>36</v>
      </c>
      <c r="B148" t="s">
        <v>13</v>
      </c>
      <c r="C148">
        <v>1674017</v>
      </c>
      <c r="D148">
        <v>1303307</v>
      </c>
      <c r="E148">
        <v>69104.490000000005</v>
      </c>
      <c r="F148">
        <v>127584.52</v>
      </c>
    </row>
    <row r="149" spans="1:6" x14ac:dyDescent="0.3">
      <c r="A149" t="s">
        <v>36</v>
      </c>
      <c r="B149" t="s">
        <v>14</v>
      </c>
      <c r="C149">
        <v>1668523</v>
      </c>
      <c r="D149">
        <v>1312601</v>
      </c>
      <c r="E149">
        <v>68332.820000000007</v>
      </c>
      <c r="F149">
        <v>134085.13</v>
      </c>
    </row>
    <row r="150" spans="1:6" x14ac:dyDescent="0.3">
      <c r="A150" t="s">
        <v>36</v>
      </c>
      <c r="B150" t="s">
        <v>15</v>
      </c>
      <c r="C150">
        <v>1550025</v>
      </c>
      <c r="D150">
        <v>1195909</v>
      </c>
      <c r="E150">
        <v>67646.789999999994</v>
      </c>
      <c r="F150">
        <v>138290.6</v>
      </c>
    </row>
    <row r="151" spans="1:6" x14ac:dyDescent="0.3">
      <c r="A151" t="s">
        <v>36</v>
      </c>
      <c r="B151" t="s">
        <v>16</v>
      </c>
      <c r="C151">
        <v>1516648</v>
      </c>
      <c r="D151">
        <v>1173919</v>
      </c>
      <c r="E151">
        <v>68639.41</v>
      </c>
      <c r="F151">
        <v>131642.06</v>
      </c>
    </row>
    <row r="152" spans="1:6" x14ac:dyDescent="0.3">
      <c r="A152" t="s">
        <v>36</v>
      </c>
      <c r="B152" t="s">
        <v>17</v>
      </c>
      <c r="C152">
        <v>1481107</v>
      </c>
      <c r="D152">
        <v>1156038</v>
      </c>
      <c r="E152">
        <v>70090.92</v>
      </c>
      <c r="F152">
        <v>118786.46</v>
      </c>
    </row>
    <row r="153" spans="1:6" x14ac:dyDescent="0.3">
      <c r="A153" t="s">
        <v>36</v>
      </c>
      <c r="B153" t="s">
        <v>18</v>
      </c>
      <c r="C153">
        <v>1763658</v>
      </c>
      <c r="D153">
        <v>1385548</v>
      </c>
      <c r="E153">
        <v>70356.570000000007</v>
      </c>
      <c r="F153">
        <v>129621.5</v>
      </c>
    </row>
    <row r="154" spans="1:6" x14ac:dyDescent="0.3">
      <c r="A154" t="s">
        <v>36</v>
      </c>
      <c r="B154" t="s">
        <v>19</v>
      </c>
      <c r="C154">
        <v>1697818</v>
      </c>
      <c r="D154">
        <v>1338199</v>
      </c>
      <c r="E154">
        <v>70026.63</v>
      </c>
      <c r="F154">
        <v>120761.44</v>
      </c>
    </row>
    <row r="155" spans="1:6" x14ac:dyDescent="0.3">
      <c r="A155" t="s">
        <v>36</v>
      </c>
      <c r="B155" t="s">
        <v>20</v>
      </c>
      <c r="C155">
        <v>1574533</v>
      </c>
      <c r="D155">
        <v>1212821</v>
      </c>
      <c r="E155">
        <v>69675.11</v>
      </c>
      <c r="F155">
        <v>123713.93</v>
      </c>
    </row>
    <row r="156" spans="1:6" x14ac:dyDescent="0.3">
      <c r="A156" t="s">
        <v>36</v>
      </c>
      <c r="B156" t="s">
        <v>21</v>
      </c>
      <c r="C156">
        <v>1573892</v>
      </c>
      <c r="D156">
        <v>1265479</v>
      </c>
      <c r="E156">
        <v>68690.3</v>
      </c>
      <c r="F156">
        <v>139420.79999999999</v>
      </c>
    </row>
    <row r="157" spans="1:6" x14ac:dyDescent="0.3">
      <c r="A157" t="s">
        <v>36</v>
      </c>
      <c r="B157" t="s">
        <v>22</v>
      </c>
      <c r="C157">
        <v>1580736</v>
      </c>
      <c r="D157">
        <v>1244542</v>
      </c>
      <c r="E157">
        <v>71417.19</v>
      </c>
      <c r="F157">
        <v>118450.28</v>
      </c>
    </row>
    <row r="158" spans="1:6" x14ac:dyDescent="0.3">
      <c r="A158" t="s">
        <v>36</v>
      </c>
      <c r="B158" t="s">
        <v>23</v>
      </c>
      <c r="C158">
        <v>1445951</v>
      </c>
      <c r="D158">
        <v>1163175</v>
      </c>
      <c r="E158">
        <v>70704.61</v>
      </c>
      <c r="F158">
        <v>114564.58</v>
      </c>
    </row>
    <row r="159" spans="1:6" x14ac:dyDescent="0.3">
      <c r="A159" t="s">
        <v>36</v>
      </c>
      <c r="B159" t="s">
        <v>24</v>
      </c>
      <c r="C159">
        <v>1785526</v>
      </c>
      <c r="D159">
        <v>1386286</v>
      </c>
      <c r="E159">
        <v>67321.210000000006</v>
      </c>
      <c r="F159">
        <v>129854.53</v>
      </c>
    </row>
    <row r="160" spans="1:6" x14ac:dyDescent="0.3">
      <c r="A160" t="s">
        <v>36</v>
      </c>
      <c r="B160" t="s">
        <v>25</v>
      </c>
      <c r="C160">
        <v>1691006</v>
      </c>
      <c r="D160">
        <v>1329556</v>
      </c>
      <c r="E160">
        <v>16500.09</v>
      </c>
      <c r="F160">
        <v>26219.54</v>
      </c>
    </row>
    <row r="161" spans="1:6" x14ac:dyDescent="0.3">
      <c r="A161" t="s">
        <v>36</v>
      </c>
      <c r="B161" t="s">
        <v>26</v>
      </c>
      <c r="C161">
        <v>1652222</v>
      </c>
      <c r="D161">
        <v>1304907</v>
      </c>
      <c r="E161">
        <v>16230.85</v>
      </c>
      <c r="F161">
        <v>27824.98</v>
      </c>
    </row>
    <row r="162" spans="1:6" x14ac:dyDescent="0.3">
      <c r="A162" t="s">
        <v>36</v>
      </c>
      <c r="B162" t="s">
        <v>27</v>
      </c>
      <c r="C162">
        <v>1767768</v>
      </c>
      <c r="D162">
        <v>1384808</v>
      </c>
      <c r="E162">
        <v>16305.71</v>
      </c>
      <c r="F162">
        <v>25099.61</v>
      </c>
    </row>
    <row r="163" spans="1:6" x14ac:dyDescent="0.3">
      <c r="A163" t="s">
        <v>36</v>
      </c>
      <c r="B163" t="s">
        <v>28</v>
      </c>
      <c r="C163">
        <v>1709807</v>
      </c>
      <c r="D163">
        <v>1294759</v>
      </c>
      <c r="E163">
        <v>16251.56</v>
      </c>
      <c r="F163">
        <v>31190.55</v>
      </c>
    </row>
    <row r="164" spans="1:6" x14ac:dyDescent="0.3">
      <c r="A164" t="s">
        <v>36</v>
      </c>
      <c r="B164" t="s">
        <v>31</v>
      </c>
      <c r="C164">
        <v>1982714</v>
      </c>
      <c r="D164">
        <v>1542043</v>
      </c>
      <c r="E164">
        <v>16109.87</v>
      </c>
      <c r="F164">
        <v>30700.68</v>
      </c>
    </row>
    <row r="165" spans="1:6" x14ac:dyDescent="0.3">
      <c r="A165" t="s">
        <v>36</v>
      </c>
      <c r="B165" t="s">
        <v>37</v>
      </c>
      <c r="C165">
        <v>2588744</v>
      </c>
      <c r="D165">
        <v>2023505</v>
      </c>
      <c r="E165">
        <v>12249.75</v>
      </c>
      <c r="F165">
        <v>28586.87</v>
      </c>
    </row>
    <row r="166" spans="1:6" x14ac:dyDescent="0.3">
      <c r="A166" t="s">
        <v>36</v>
      </c>
      <c r="B166" t="s">
        <v>32</v>
      </c>
      <c r="C166">
        <v>1947320</v>
      </c>
      <c r="D166">
        <v>1533965</v>
      </c>
      <c r="E166">
        <v>16212.57</v>
      </c>
      <c r="F166">
        <v>28951.82</v>
      </c>
    </row>
    <row r="167" spans="1:6" x14ac:dyDescent="0.3">
      <c r="A167" t="s">
        <v>38</v>
      </c>
      <c r="B167" t="s">
        <v>7</v>
      </c>
      <c r="C167">
        <v>1698109</v>
      </c>
      <c r="D167">
        <v>1310204</v>
      </c>
      <c r="E167">
        <v>69700.509999999995</v>
      </c>
      <c r="F167">
        <v>137257.57999999999</v>
      </c>
    </row>
    <row r="168" spans="1:6" x14ac:dyDescent="0.3">
      <c r="A168" t="s">
        <v>38</v>
      </c>
      <c r="B168" t="s">
        <v>8</v>
      </c>
      <c r="C168">
        <v>1692817</v>
      </c>
      <c r="D168">
        <v>1303993</v>
      </c>
      <c r="E168">
        <v>70212.87</v>
      </c>
      <c r="F168">
        <v>135111.37</v>
      </c>
    </row>
    <row r="169" spans="1:6" x14ac:dyDescent="0.3">
      <c r="A169" t="s">
        <v>38</v>
      </c>
      <c r="B169" t="s">
        <v>9</v>
      </c>
      <c r="C169">
        <v>1676981</v>
      </c>
      <c r="D169">
        <v>1330218</v>
      </c>
      <c r="E169">
        <v>69142.02</v>
      </c>
      <c r="F169">
        <v>110016.14</v>
      </c>
    </row>
    <row r="170" spans="1:6" x14ac:dyDescent="0.3">
      <c r="A170" t="s">
        <v>38</v>
      </c>
      <c r="B170" t="s">
        <v>10</v>
      </c>
      <c r="C170">
        <v>1701796</v>
      </c>
      <c r="D170">
        <v>1323460</v>
      </c>
      <c r="E170">
        <v>71691.97</v>
      </c>
      <c r="F170">
        <v>113785.9</v>
      </c>
    </row>
    <row r="171" spans="1:6" x14ac:dyDescent="0.3">
      <c r="A171" t="s">
        <v>38</v>
      </c>
      <c r="B171" t="s">
        <v>11</v>
      </c>
      <c r="C171">
        <v>1654406</v>
      </c>
      <c r="D171">
        <v>1294694</v>
      </c>
      <c r="E171">
        <v>69689.06</v>
      </c>
      <c r="F171">
        <v>134861.76999999999</v>
      </c>
    </row>
    <row r="172" spans="1:6" x14ac:dyDescent="0.3">
      <c r="A172" t="s">
        <v>38</v>
      </c>
      <c r="B172" t="s">
        <v>12</v>
      </c>
      <c r="C172">
        <v>1816923</v>
      </c>
      <c r="D172">
        <v>1415981</v>
      </c>
      <c r="E172">
        <v>68729.240000000005</v>
      </c>
      <c r="F172">
        <v>127214.17</v>
      </c>
    </row>
    <row r="173" spans="1:6" x14ac:dyDescent="0.3">
      <c r="A173" t="s">
        <v>38</v>
      </c>
      <c r="B173" t="s">
        <v>13</v>
      </c>
      <c r="C173">
        <v>1529168</v>
      </c>
      <c r="D173">
        <v>1170731</v>
      </c>
      <c r="E173">
        <v>72005.63</v>
      </c>
      <c r="F173">
        <v>136155.84</v>
      </c>
    </row>
    <row r="174" spans="1:6" x14ac:dyDescent="0.3">
      <c r="A174" t="s">
        <v>38</v>
      </c>
      <c r="B174" t="s">
        <v>14</v>
      </c>
      <c r="C174">
        <v>1681712</v>
      </c>
      <c r="D174">
        <v>1340035</v>
      </c>
      <c r="E174">
        <v>69250.259999999995</v>
      </c>
      <c r="F174">
        <v>120059.53</v>
      </c>
    </row>
    <row r="175" spans="1:6" x14ac:dyDescent="0.3">
      <c r="A175" t="s">
        <v>38</v>
      </c>
      <c r="B175" t="s">
        <v>15</v>
      </c>
      <c r="C175">
        <v>1698318</v>
      </c>
      <c r="D175">
        <v>1310420</v>
      </c>
      <c r="E175">
        <v>71542.33</v>
      </c>
      <c r="F175">
        <v>137486.32</v>
      </c>
    </row>
    <row r="176" spans="1:6" x14ac:dyDescent="0.3">
      <c r="A176" t="s">
        <v>38</v>
      </c>
      <c r="B176" t="s">
        <v>16</v>
      </c>
      <c r="C176">
        <v>1472558</v>
      </c>
      <c r="D176">
        <v>1164335</v>
      </c>
      <c r="E176">
        <v>69409.25</v>
      </c>
      <c r="F176">
        <v>115722.06</v>
      </c>
    </row>
    <row r="177" spans="1:6" x14ac:dyDescent="0.3">
      <c r="A177" t="s">
        <v>38</v>
      </c>
      <c r="B177" t="s">
        <v>17</v>
      </c>
      <c r="C177">
        <v>1602779</v>
      </c>
      <c r="D177">
        <v>1252173</v>
      </c>
      <c r="E177">
        <v>71216.2</v>
      </c>
      <c r="F177">
        <v>121356.33</v>
      </c>
    </row>
    <row r="178" spans="1:6" x14ac:dyDescent="0.3">
      <c r="A178" t="s">
        <v>38</v>
      </c>
      <c r="B178" t="s">
        <v>18</v>
      </c>
      <c r="C178">
        <v>1704438</v>
      </c>
      <c r="D178">
        <v>1310175</v>
      </c>
      <c r="E178">
        <v>70247.53</v>
      </c>
      <c r="F178">
        <v>115431.63</v>
      </c>
    </row>
    <row r="179" spans="1:6" x14ac:dyDescent="0.3">
      <c r="A179" t="s">
        <v>38</v>
      </c>
      <c r="B179" t="s">
        <v>19</v>
      </c>
      <c r="C179">
        <v>1656965</v>
      </c>
      <c r="D179">
        <v>1284169</v>
      </c>
      <c r="E179">
        <v>70300.570000000007</v>
      </c>
      <c r="F179">
        <v>112728.3</v>
      </c>
    </row>
    <row r="180" spans="1:6" x14ac:dyDescent="0.3">
      <c r="A180" t="s">
        <v>38</v>
      </c>
      <c r="B180" t="s">
        <v>20</v>
      </c>
      <c r="C180">
        <v>1727266</v>
      </c>
      <c r="D180">
        <v>1353270</v>
      </c>
      <c r="E180">
        <v>69939.759999999995</v>
      </c>
      <c r="F180">
        <v>125852.3</v>
      </c>
    </row>
    <row r="181" spans="1:6" x14ac:dyDescent="0.3">
      <c r="A181" t="s">
        <v>38</v>
      </c>
      <c r="B181" t="s">
        <v>21</v>
      </c>
      <c r="C181">
        <v>1578075</v>
      </c>
      <c r="D181">
        <v>1245041</v>
      </c>
      <c r="E181">
        <v>67743.59</v>
      </c>
      <c r="F181">
        <v>117601.81</v>
      </c>
    </row>
    <row r="182" spans="1:6" x14ac:dyDescent="0.3">
      <c r="A182" t="s">
        <v>38</v>
      </c>
      <c r="B182" t="s">
        <v>22</v>
      </c>
      <c r="C182">
        <v>1632289</v>
      </c>
      <c r="D182">
        <v>1267044</v>
      </c>
      <c r="E182">
        <v>68412.87</v>
      </c>
      <c r="F182">
        <v>114418.17</v>
      </c>
    </row>
    <row r="183" spans="1:6" x14ac:dyDescent="0.3">
      <c r="A183" t="s">
        <v>38</v>
      </c>
      <c r="B183" t="s">
        <v>23</v>
      </c>
      <c r="C183">
        <v>1821959</v>
      </c>
      <c r="D183">
        <v>1406040</v>
      </c>
      <c r="E183">
        <v>69176.05</v>
      </c>
      <c r="F183">
        <v>130628.14</v>
      </c>
    </row>
    <row r="184" spans="1:6" x14ac:dyDescent="0.3">
      <c r="A184" t="s">
        <v>38</v>
      </c>
      <c r="B184" t="s">
        <v>24</v>
      </c>
      <c r="C184">
        <v>1779069</v>
      </c>
      <c r="D184">
        <v>1381860</v>
      </c>
      <c r="E184">
        <v>68901.63</v>
      </c>
      <c r="F184">
        <v>138053.06</v>
      </c>
    </row>
    <row r="185" spans="1:6" x14ac:dyDescent="0.3">
      <c r="A185" t="s">
        <v>38</v>
      </c>
      <c r="B185" t="s">
        <v>25</v>
      </c>
      <c r="C185">
        <v>1600363</v>
      </c>
      <c r="D185">
        <v>1265899</v>
      </c>
      <c r="E185">
        <v>16284.75</v>
      </c>
      <c r="F185">
        <v>26702.79</v>
      </c>
    </row>
    <row r="186" spans="1:6" x14ac:dyDescent="0.3">
      <c r="A186" t="s">
        <v>38</v>
      </c>
      <c r="B186" t="s">
        <v>26</v>
      </c>
      <c r="C186">
        <v>1668345</v>
      </c>
      <c r="D186">
        <v>1329317</v>
      </c>
      <c r="E186">
        <v>16410.189999999999</v>
      </c>
      <c r="F186">
        <v>28827.91</v>
      </c>
    </row>
    <row r="187" spans="1:6" x14ac:dyDescent="0.3">
      <c r="A187" t="s">
        <v>38</v>
      </c>
      <c r="B187" t="s">
        <v>27</v>
      </c>
      <c r="C187">
        <v>1462781</v>
      </c>
      <c r="D187">
        <v>1154618</v>
      </c>
      <c r="E187">
        <v>16513.29</v>
      </c>
      <c r="F187">
        <v>26909.3</v>
      </c>
    </row>
    <row r="188" spans="1:6" x14ac:dyDescent="0.3">
      <c r="A188" t="s">
        <v>38</v>
      </c>
      <c r="B188" t="s">
        <v>28</v>
      </c>
      <c r="C188">
        <v>1738755</v>
      </c>
      <c r="D188">
        <v>1382633</v>
      </c>
      <c r="E188">
        <v>16608.36</v>
      </c>
      <c r="F188">
        <v>27593.52</v>
      </c>
    </row>
    <row r="189" spans="1:6" x14ac:dyDescent="0.3">
      <c r="A189" t="s">
        <v>38</v>
      </c>
      <c r="B189" t="s">
        <v>31</v>
      </c>
      <c r="C189">
        <v>1894135</v>
      </c>
      <c r="D189">
        <v>1464867</v>
      </c>
      <c r="E189">
        <v>16618.57</v>
      </c>
      <c r="F189">
        <v>26319.08</v>
      </c>
    </row>
    <row r="190" spans="1:6" x14ac:dyDescent="0.3">
      <c r="A190" t="s">
        <v>38</v>
      </c>
      <c r="B190" t="s">
        <v>37</v>
      </c>
      <c r="C190">
        <v>3517627</v>
      </c>
      <c r="D190">
        <v>2765402</v>
      </c>
      <c r="E190">
        <v>15896.71</v>
      </c>
      <c r="F190">
        <v>26152.89</v>
      </c>
    </row>
    <row r="191" spans="1:6" x14ac:dyDescent="0.3">
      <c r="A191" t="s">
        <v>38</v>
      </c>
      <c r="B191" t="s">
        <v>32</v>
      </c>
      <c r="C191">
        <v>2152258</v>
      </c>
      <c r="D191">
        <v>1683032</v>
      </c>
      <c r="E191">
        <v>16939.25</v>
      </c>
      <c r="F191">
        <v>25248.31</v>
      </c>
    </row>
    <row r="192" spans="1:6" x14ac:dyDescent="0.3">
      <c r="A192" t="s">
        <v>39</v>
      </c>
      <c r="B192" t="s">
        <v>7</v>
      </c>
      <c r="C192">
        <v>1358510</v>
      </c>
      <c r="D192">
        <v>1064356</v>
      </c>
      <c r="E192">
        <v>67420.570000000007</v>
      </c>
      <c r="F192">
        <v>136618.07</v>
      </c>
    </row>
    <row r="193" spans="1:6" x14ac:dyDescent="0.3">
      <c r="A193" t="s">
        <v>39</v>
      </c>
      <c r="B193" t="s">
        <v>8</v>
      </c>
      <c r="C193">
        <v>1680968</v>
      </c>
      <c r="D193">
        <v>1307336</v>
      </c>
      <c r="E193">
        <v>67029.05</v>
      </c>
      <c r="F193">
        <v>138202.87</v>
      </c>
    </row>
    <row r="194" spans="1:6" x14ac:dyDescent="0.3">
      <c r="A194" t="s">
        <v>39</v>
      </c>
      <c r="B194" t="s">
        <v>9</v>
      </c>
      <c r="C194">
        <v>1525152</v>
      </c>
      <c r="D194">
        <v>1182753</v>
      </c>
      <c r="E194">
        <v>67526.759999999995</v>
      </c>
      <c r="F194">
        <v>139041.22</v>
      </c>
    </row>
    <row r="195" spans="1:6" x14ac:dyDescent="0.3">
      <c r="A195" t="s">
        <v>39</v>
      </c>
      <c r="B195" t="s">
        <v>10</v>
      </c>
      <c r="C195">
        <v>1733930</v>
      </c>
      <c r="D195">
        <v>1348677</v>
      </c>
      <c r="E195">
        <v>67456.55</v>
      </c>
      <c r="F195">
        <v>122415.39</v>
      </c>
    </row>
    <row r="196" spans="1:6" x14ac:dyDescent="0.3">
      <c r="A196" t="s">
        <v>39</v>
      </c>
      <c r="B196" t="s">
        <v>11</v>
      </c>
      <c r="C196">
        <v>1624274</v>
      </c>
      <c r="D196">
        <v>1264273</v>
      </c>
      <c r="E196">
        <v>68105.06</v>
      </c>
      <c r="F196">
        <v>119748.5</v>
      </c>
    </row>
    <row r="197" spans="1:6" x14ac:dyDescent="0.3">
      <c r="A197" t="s">
        <v>39</v>
      </c>
      <c r="B197" t="s">
        <v>12</v>
      </c>
      <c r="C197">
        <v>1578599</v>
      </c>
      <c r="D197">
        <v>1265124</v>
      </c>
      <c r="E197">
        <v>67359.63</v>
      </c>
      <c r="F197">
        <v>126684.98</v>
      </c>
    </row>
    <row r="198" spans="1:6" x14ac:dyDescent="0.3">
      <c r="A198" t="s">
        <v>39</v>
      </c>
      <c r="B198" t="s">
        <v>13</v>
      </c>
      <c r="C198">
        <v>1586082</v>
      </c>
      <c r="D198">
        <v>1262933</v>
      </c>
      <c r="E198">
        <v>67186.12</v>
      </c>
      <c r="F198">
        <v>130556.41</v>
      </c>
    </row>
    <row r="199" spans="1:6" x14ac:dyDescent="0.3">
      <c r="A199" t="s">
        <v>39</v>
      </c>
      <c r="B199" t="s">
        <v>14</v>
      </c>
      <c r="C199">
        <v>1475540</v>
      </c>
      <c r="D199">
        <v>1204287</v>
      </c>
      <c r="E199">
        <v>69442.850000000006</v>
      </c>
      <c r="F199">
        <v>116847.34</v>
      </c>
    </row>
    <row r="200" spans="1:6" x14ac:dyDescent="0.3">
      <c r="A200" t="s">
        <v>39</v>
      </c>
      <c r="B200" t="s">
        <v>15</v>
      </c>
      <c r="C200">
        <v>1501115</v>
      </c>
      <c r="D200">
        <v>1183912</v>
      </c>
      <c r="E200">
        <v>66114.039999999994</v>
      </c>
      <c r="F200">
        <v>110576.01</v>
      </c>
    </row>
    <row r="201" spans="1:6" x14ac:dyDescent="0.3">
      <c r="A201" t="s">
        <v>39</v>
      </c>
      <c r="B201" t="s">
        <v>16</v>
      </c>
      <c r="C201">
        <v>1358496</v>
      </c>
      <c r="D201">
        <v>1058748</v>
      </c>
      <c r="E201">
        <v>64883.08</v>
      </c>
      <c r="F201">
        <v>116101.99</v>
      </c>
    </row>
    <row r="202" spans="1:6" x14ac:dyDescent="0.3">
      <c r="A202" t="s">
        <v>39</v>
      </c>
      <c r="B202" t="s">
        <v>17</v>
      </c>
      <c r="C202">
        <v>1571663</v>
      </c>
      <c r="D202">
        <v>1224849</v>
      </c>
      <c r="E202">
        <v>66837.27</v>
      </c>
      <c r="F202">
        <v>119179.94</v>
      </c>
    </row>
    <row r="203" spans="1:6" x14ac:dyDescent="0.3">
      <c r="A203" t="s">
        <v>39</v>
      </c>
      <c r="B203" t="s">
        <v>18</v>
      </c>
      <c r="C203">
        <v>1462313</v>
      </c>
      <c r="D203">
        <v>1167080</v>
      </c>
      <c r="E203">
        <v>68575.06</v>
      </c>
      <c r="F203">
        <v>126349.8</v>
      </c>
    </row>
    <row r="204" spans="1:6" x14ac:dyDescent="0.3">
      <c r="A204" t="s">
        <v>39</v>
      </c>
      <c r="B204" t="s">
        <v>19</v>
      </c>
      <c r="C204">
        <v>1490334</v>
      </c>
      <c r="D204">
        <v>1179269</v>
      </c>
      <c r="E204">
        <v>67916.67</v>
      </c>
      <c r="F204">
        <v>115391.31</v>
      </c>
    </row>
    <row r="205" spans="1:6" x14ac:dyDescent="0.3">
      <c r="A205" t="s">
        <v>39</v>
      </c>
      <c r="B205" t="s">
        <v>20</v>
      </c>
      <c r="C205">
        <v>1640360</v>
      </c>
      <c r="D205">
        <v>1287698</v>
      </c>
      <c r="E205">
        <v>64813.77</v>
      </c>
      <c r="F205">
        <v>133606.51999999999</v>
      </c>
    </row>
    <row r="206" spans="1:6" x14ac:dyDescent="0.3">
      <c r="A206" t="s">
        <v>39</v>
      </c>
      <c r="B206" t="s">
        <v>21</v>
      </c>
      <c r="C206">
        <v>1514031</v>
      </c>
      <c r="D206">
        <v>1223123</v>
      </c>
      <c r="E206">
        <v>68577.75</v>
      </c>
      <c r="F206">
        <v>123882.97</v>
      </c>
    </row>
    <row r="207" spans="1:6" x14ac:dyDescent="0.3">
      <c r="A207" t="s">
        <v>39</v>
      </c>
      <c r="B207" t="s">
        <v>22</v>
      </c>
      <c r="C207">
        <v>1466336</v>
      </c>
      <c r="D207">
        <v>1125673</v>
      </c>
      <c r="E207">
        <v>65509.94</v>
      </c>
      <c r="F207">
        <v>117312.35</v>
      </c>
    </row>
    <row r="208" spans="1:6" x14ac:dyDescent="0.3">
      <c r="A208" t="s">
        <v>39</v>
      </c>
      <c r="B208" t="s">
        <v>23</v>
      </c>
      <c r="C208">
        <v>1506899</v>
      </c>
      <c r="D208">
        <v>1179964</v>
      </c>
      <c r="E208">
        <v>68329.34</v>
      </c>
      <c r="F208">
        <v>129377.19</v>
      </c>
    </row>
    <row r="209" spans="1:6" x14ac:dyDescent="0.3">
      <c r="A209" t="s">
        <v>39</v>
      </c>
      <c r="B209" t="s">
        <v>24</v>
      </c>
      <c r="C209">
        <v>1603321</v>
      </c>
      <c r="D209">
        <v>1280491</v>
      </c>
      <c r="E209">
        <v>67041.490000000005</v>
      </c>
      <c r="F209">
        <v>127990.14</v>
      </c>
    </row>
    <row r="210" spans="1:6" x14ac:dyDescent="0.3">
      <c r="A210" t="s">
        <v>39</v>
      </c>
      <c r="B210" t="s">
        <v>25</v>
      </c>
      <c r="C210">
        <v>1574813</v>
      </c>
      <c r="D210">
        <v>1232366</v>
      </c>
      <c r="E210">
        <v>15786.44</v>
      </c>
      <c r="F210">
        <v>29479.31</v>
      </c>
    </row>
    <row r="211" spans="1:6" x14ac:dyDescent="0.3">
      <c r="A211" t="s">
        <v>39</v>
      </c>
      <c r="B211" t="s">
        <v>26</v>
      </c>
      <c r="C211">
        <v>1741442</v>
      </c>
      <c r="D211">
        <v>1334232</v>
      </c>
      <c r="E211">
        <v>15627.82</v>
      </c>
      <c r="F211">
        <v>26209.42</v>
      </c>
    </row>
    <row r="212" spans="1:6" x14ac:dyDescent="0.3">
      <c r="A212" t="s">
        <v>39</v>
      </c>
      <c r="B212" t="s">
        <v>27</v>
      </c>
      <c r="C212">
        <v>1505001</v>
      </c>
      <c r="D212">
        <v>1184348</v>
      </c>
      <c r="E212">
        <v>15627.41</v>
      </c>
      <c r="F212">
        <v>26659.72</v>
      </c>
    </row>
    <row r="213" spans="1:6" x14ac:dyDescent="0.3">
      <c r="A213" t="s">
        <v>39</v>
      </c>
      <c r="B213" t="s">
        <v>28</v>
      </c>
      <c r="C213">
        <v>1547358</v>
      </c>
      <c r="D213">
        <v>1220699</v>
      </c>
      <c r="E213">
        <v>15252.21</v>
      </c>
      <c r="F213">
        <v>30165.27</v>
      </c>
    </row>
    <row r="214" spans="1:6" x14ac:dyDescent="0.3">
      <c r="A214" t="s">
        <v>39</v>
      </c>
      <c r="B214" t="s">
        <v>31</v>
      </c>
      <c r="C214">
        <v>1643118</v>
      </c>
      <c r="D214">
        <v>1288046</v>
      </c>
      <c r="E214">
        <v>16042.1</v>
      </c>
      <c r="F214">
        <v>30706.6</v>
      </c>
    </row>
    <row r="215" spans="1:6" x14ac:dyDescent="0.3">
      <c r="A215" t="s">
        <v>39</v>
      </c>
      <c r="B215" t="s">
        <v>37</v>
      </c>
      <c r="C215">
        <v>3142716</v>
      </c>
      <c r="D215">
        <v>2479741</v>
      </c>
      <c r="E215">
        <v>15107.25</v>
      </c>
      <c r="F215">
        <v>24949.19</v>
      </c>
    </row>
    <row r="216" spans="1:6" x14ac:dyDescent="0.3">
      <c r="A216" t="s">
        <v>39</v>
      </c>
      <c r="B216" t="s">
        <v>32</v>
      </c>
      <c r="C216">
        <v>1826333</v>
      </c>
      <c r="D216">
        <v>1441502</v>
      </c>
      <c r="E216">
        <v>15978.7</v>
      </c>
      <c r="F216">
        <v>29334.43</v>
      </c>
    </row>
    <row r="217" spans="1:6" x14ac:dyDescent="0.3">
      <c r="A217" t="s">
        <v>40</v>
      </c>
      <c r="B217" t="s">
        <v>7</v>
      </c>
      <c r="C217">
        <v>1610739</v>
      </c>
      <c r="D217">
        <v>1256567</v>
      </c>
      <c r="E217">
        <v>68447.14</v>
      </c>
      <c r="F217">
        <v>128285.07</v>
      </c>
    </row>
    <row r="218" spans="1:6" x14ac:dyDescent="0.3">
      <c r="A218" t="s">
        <v>40</v>
      </c>
      <c r="B218" t="s">
        <v>8</v>
      </c>
      <c r="C218">
        <v>1629779</v>
      </c>
      <c r="D218">
        <v>1262882</v>
      </c>
      <c r="E218">
        <v>67956.639999999999</v>
      </c>
      <c r="F218">
        <v>126887.78</v>
      </c>
    </row>
    <row r="219" spans="1:6" x14ac:dyDescent="0.3">
      <c r="A219" t="s">
        <v>40</v>
      </c>
      <c r="B219" t="s">
        <v>9</v>
      </c>
      <c r="C219">
        <v>1593926</v>
      </c>
      <c r="D219">
        <v>1241805</v>
      </c>
      <c r="E219">
        <v>68462.53</v>
      </c>
      <c r="F219">
        <v>134666</v>
      </c>
    </row>
    <row r="220" spans="1:6" x14ac:dyDescent="0.3">
      <c r="A220" t="s">
        <v>40</v>
      </c>
      <c r="B220" t="s">
        <v>10</v>
      </c>
      <c r="C220">
        <v>1524631</v>
      </c>
      <c r="D220">
        <v>1200505</v>
      </c>
      <c r="E220">
        <v>70415.34</v>
      </c>
      <c r="F220">
        <v>115551.29</v>
      </c>
    </row>
    <row r="221" spans="1:6" x14ac:dyDescent="0.3">
      <c r="A221" t="s">
        <v>40</v>
      </c>
      <c r="B221" t="s">
        <v>11</v>
      </c>
      <c r="C221">
        <v>1785680</v>
      </c>
      <c r="D221">
        <v>1393581</v>
      </c>
      <c r="E221">
        <v>69971.8</v>
      </c>
      <c r="F221">
        <v>119574.87</v>
      </c>
    </row>
    <row r="222" spans="1:6" x14ac:dyDescent="0.3">
      <c r="A222" t="s">
        <v>40</v>
      </c>
      <c r="B222" t="s">
        <v>12</v>
      </c>
      <c r="C222">
        <v>1562195</v>
      </c>
      <c r="D222">
        <v>1216176</v>
      </c>
      <c r="E222">
        <v>69385.97</v>
      </c>
      <c r="F222">
        <v>113002.2</v>
      </c>
    </row>
    <row r="223" spans="1:6" x14ac:dyDescent="0.3">
      <c r="A223" t="s">
        <v>40</v>
      </c>
      <c r="B223" t="s">
        <v>13</v>
      </c>
      <c r="C223">
        <v>1669166</v>
      </c>
      <c r="D223">
        <v>1280628</v>
      </c>
      <c r="E223">
        <v>70193.13</v>
      </c>
      <c r="F223">
        <v>133616.24</v>
      </c>
    </row>
    <row r="224" spans="1:6" x14ac:dyDescent="0.3">
      <c r="A224" t="s">
        <v>40</v>
      </c>
      <c r="B224" t="s">
        <v>14</v>
      </c>
      <c r="C224">
        <v>1696266</v>
      </c>
      <c r="D224">
        <v>1330911</v>
      </c>
      <c r="E224">
        <v>69195.62</v>
      </c>
      <c r="F224">
        <v>116003.16</v>
      </c>
    </row>
    <row r="225" spans="1:6" x14ac:dyDescent="0.3">
      <c r="A225" t="s">
        <v>40</v>
      </c>
      <c r="B225" t="s">
        <v>15</v>
      </c>
      <c r="C225">
        <v>1496280</v>
      </c>
      <c r="D225">
        <v>1168514</v>
      </c>
      <c r="E225">
        <v>69283.679999999993</v>
      </c>
      <c r="F225">
        <v>131770.23999999999</v>
      </c>
    </row>
    <row r="226" spans="1:6" x14ac:dyDescent="0.3">
      <c r="A226" t="s">
        <v>40</v>
      </c>
      <c r="B226" t="s">
        <v>16</v>
      </c>
      <c r="C226">
        <v>1692882</v>
      </c>
      <c r="D226">
        <v>1326748</v>
      </c>
      <c r="E226">
        <v>72393.91</v>
      </c>
      <c r="F226">
        <v>116722.51</v>
      </c>
    </row>
    <row r="227" spans="1:6" x14ac:dyDescent="0.3">
      <c r="A227" t="s">
        <v>40</v>
      </c>
      <c r="B227" t="s">
        <v>17</v>
      </c>
      <c r="C227">
        <v>1678999</v>
      </c>
      <c r="D227">
        <v>1334533</v>
      </c>
      <c r="E227">
        <v>69147.81</v>
      </c>
      <c r="F227">
        <v>134290.32</v>
      </c>
    </row>
    <row r="228" spans="1:6" x14ac:dyDescent="0.3">
      <c r="A228" t="s">
        <v>40</v>
      </c>
      <c r="B228" t="s">
        <v>18</v>
      </c>
      <c r="C228">
        <v>1560610</v>
      </c>
      <c r="D228">
        <v>1219524</v>
      </c>
      <c r="E228">
        <v>70355.320000000007</v>
      </c>
      <c r="F228">
        <v>135391.78</v>
      </c>
    </row>
    <row r="229" spans="1:6" x14ac:dyDescent="0.3">
      <c r="A229" t="s">
        <v>40</v>
      </c>
      <c r="B229" t="s">
        <v>19</v>
      </c>
      <c r="C229">
        <v>1490994</v>
      </c>
      <c r="D229">
        <v>1202795</v>
      </c>
      <c r="E229">
        <v>68153.84</v>
      </c>
      <c r="F229">
        <v>130757.59</v>
      </c>
    </row>
    <row r="230" spans="1:6" x14ac:dyDescent="0.3">
      <c r="A230" t="s">
        <v>40</v>
      </c>
      <c r="B230" t="s">
        <v>20</v>
      </c>
      <c r="C230">
        <v>1557414</v>
      </c>
      <c r="D230">
        <v>1202984</v>
      </c>
      <c r="E230">
        <v>71479.89</v>
      </c>
      <c r="F230">
        <v>124982.47</v>
      </c>
    </row>
    <row r="231" spans="1:6" x14ac:dyDescent="0.3">
      <c r="A231" t="s">
        <v>40</v>
      </c>
      <c r="B231" t="s">
        <v>21</v>
      </c>
      <c r="C231">
        <v>1485481</v>
      </c>
      <c r="D231">
        <v>1149249</v>
      </c>
      <c r="E231">
        <v>68209.75</v>
      </c>
      <c r="F231">
        <v>131595.67000000001</v>
      </c>
    </row>
    <row r="232" spans="1:6" x14ac:dyDescent="0.3">
      <c r="A232" t="s">
        <v>40</v>
      </c>
      <c r="B232" t="s">
        <v>22</v>
      </c>
      <c r="C232">
        <v>1592393</v>
      </c>
      <c r="D232">
        <v>1240774</v>
      </c>
      <c r="E232">
        <v>68978.73</v>
      </c>
      <c r="F232">
        <v>113504.42</v>
      </c>
    </row>
    <row r="233" spans="1:6" x14ac:dyDescent="0.3">
      <c r="A233" t="s">
        <v>40</v>
      </c>
      <c r="B233" t="s">
        <v>23</v>
      </c>
      <c r="C233">
        <v>1691266</v>
      </c>
      <c r="D233">
        <v>1311077</v>
      </c>
      <c r="E233">
        <v>69141.53</v>
      </c>
      <c r="F233">
        <v>115260.87</v>
      </c>
    </row>
    <row r="234" spans="1:6" x14ac:dyDescent="0.3">
      <c r="A234" t="s">
        <v>40</v>
      </c>
      <c r="B234" t="s">
        <v>24</v>
      </c>
      <c r="C234">
        <v>1692670</v>
      </c>
      <c r="D234">
        <v>1317718</v>
      </c>
      <c r="E234">
        <v>68823.289999999994</v>
      </c>
      <c r="F234">
        <v>136782.9</v>
      </c>
    </row>
    <row r="235" spans="1:6" x14ac:dyDescent="0.3">
      <c r="A235" t="s">
        <v>40</v>
      </c>
      <c r="B235" t="s">
        <v>25</v>
      </c>
      <c r="C235">
        <v>1501622</v>
      </c>
      <c r="D235">
        <v>1201571</v>
      </c>
      <c r="E235">
        <v>16782.27</v>
      </c>
      <c r="F235">
        <v>28494.49</v>
      </c>
    </row>
    <row r="236" spans="1:6" x14ac:dyDescent="0.3">
      <c r="A236" t="s">
        <v>40</v>
      </c>
      <c r="B236" t="s">
        <v>26</v>
      </c>
      <c r="C236">
        <v>1574672</v>
      </c>
      <c r="D236">
        <v>1234540</v>
      </c>
      <c r="E236">
        <v>15855.96</v>
      </c>
      <c r="F236">
        <v>29043.45</v>
      </c>
    </row>
    <row r="237" spans="1:6" x14ac:dyDescent="0.3">
      <c r="A237" t="s">
        <v>40</v>
      </c>
      <c r="B237" t="s">
        <v>27</v>
      </c>
      <c r="C237">
        <v>1562069</v>
      </c>
      <c r="D237">
        <v>1232906</v>
      </c>
      <c r="E237">
        <v>15938.23</v>
      </c>
      <c r="F237">
        <v>29432.29</v>
      </c>
    </row>
    <row r="238" spans="1:6" x14ac:dyDescent="0.3">
      <c r="A238" t="s">
        <v>40</v>
      </c>
      <c r="B238" t="s">
        <v>28</v>
      </c>
      <c r="C238">
        <v>1725032</v>
      </c>
      <c r="D238">
        <v>1346581</v>
      </c>
      <c r="E238">
        <v>16377.86</v>
      </c>
      <c r="F238">
        <v>28600.39</v>
      </c>
    </row>
    <row r="239" spans="1:6" x14ac:dyDescent="0.3">
      <c r="A239" t="s">
        <v>40</v>
      </c>
      <c r="B239" t="s">
        <v>31</v>
      </c>
      <c r="C239">
        <v>1949542</v>
      </c>
      <c r="D239">
        <v>1520494</v>
      </c>
      <c r="E239">
        <v>15543.82</v>
      </c>
      <c r="F239">
        <v>31159.93</v>
      </c>
    </row>
    <row r="240" spans="1:6" x14ac:dyDescent="0.3">
      <c r="A240" t="s">
        <v>40</v>
      </c>
      <c r="B240" t="s">
        <v>37</v>
      </c>
      <c r="C240">
        <v>3536369</v>
      </c>
      <c r="D240">
        <v>2741904</v>
      </c>
      <c r="E240">
        <v>17129.759999999998</v>
      </c>
      <c r="F240">
        <v>31145.119999999999</v>
      </c>
    </row>
    <row r="241" spans="1:6" x14ac:dyDescent="0.3">
      <c r="A241" t="s">
        <v>40</v>
      </c>
      <c r="B241" t="s">
        <v>32</v>
      </c>
      <c r="C241">
        <v>1778364</v>
      </c>
      <c r="D241">
        <v>1392863</v>
      </c>
      <c r="E241">
        <v>16219.17</v>
      </c>
      <c r="F241">
        <v>28136.41</v>
      </c>
    </row>
    <row r="242" spans="1:6" x14ac:dyDescent="0.3">
      <c r="A242" t="s">
        <v>41</v>
      </c>
      <c r="B242" t="s">
        <v>7</v>
      </c>
      <c r="C242">
        <v>1510534</v>
      </c>
      <c r="D242">
        <v>1186388</v>
      </c>
      <c r="E242">
        <v>68758.67</v>
      </c>
      <c r="F242">
        <v>120468.56</v>
      </c>
    </row>
    <row r="243" spans="1:6" x14ac:dyDescent="0.3">
      <c r="A243" t="s">
        <v>41</v>
      </c>
      <c r="B243" t="s">
        <v>8</v>
      </c>
      <c r="C243">
        <v>1514717</v>
      </c>
      <c r="D243">
        <v>1166936</v>
      </c>
      <c r="E243">
        <v>67005.179999999993</v>
      </c>
      <c r="F243">
        <v>129853.61</v>
      </c>
    </row>
    <row r="244" spans="1:6" x14ac:dyDescent="0.3">
      <c r="A244" t="s">
        <v>41</v>
      </c>
      <c r="B244" t="s">
        <v>9</v>
      </c>
      <c r="C244">
        <v>1675060</v>
      </c>
      <c r="D244">
        <v>1322891</v>
      </c>
      <c r="E244">
        <v>67942.83</v>
      </c>
      <c r="F244">
        <v>124456.43</v>
      </c>
    </row>
    <row r="245" spans="1:6" x14ac:dyDescent="0.3">
      <c r="A245" t="s">
        <v>41</v>
      </c>
      <c r="B245" t="s">
        <v>10</v>
      </c>
      <c r="C245">
        <v>1574094</v>
      </c>
      <c r="D245">
        <v>1237477</v>
      </c>
      <c r="E245">
        <v>69281.679999999993</v>
      </c>
      <c r="F245">
        <v>116842.41</v>
      </c>
    </row>
    <row r="246" spans="1:6" x14ac:dyDescent="0.3">
      <c r="A246" t="s">
        <v>41</v>
      </c>
      <c r="B246" t="s">
        <v>11</v>
      </c>
      <c r="C246">
        <v>1438976</v>
      </c>
      <c r="D246">
        <v>1130365</v>
      </c>
      <c r="E246">
        <v>68539.91</v>
      </c>
      <c r="F246">
        <v>115256.04</v>
      </c>
    </row>
    <row r="247" spans="1:6" x14ac:dyDescent="0.3">
      <c r="A247" t="s">
        <v>41</v>
      </c>
      <c r="B247" t="s">
        <v>12</v>
      </c>
      <c r="C247">
        <v>1492347</v>
      </c>
      <c r="D247">
        <v>1172275</v>
      </c>
      <c r="E247">
        <v>67098.78</v>
      </c>
      <c r="F247">
        <v>121079.67999999999</v>
      </c>
    </row>
    <row r="248" spans="1:6" x14ac:dyDescent="0.3">
      <c r="A248" t="s">
        <v>41</v>
      </c>
      <c r="B248" t="s">
        <v>13</v>
      </c>
      <c r="C248">
        <v>1631250</v>
      </c>
      <c r="D248">
        <v>1291763</v>
      </c>
      <c r="E248">
        <v>66992.7</v>
      </c>
      <c r="F248">
        <v>139714.57999999999</v>
      </c>
    </row>
    <row r="249" spans="1:6" x14ac:dyDescent="0.3">
      <c r="A249" t="s">
        <v>41</v>
      </c>
      <c r="B249" t="s">
        <v>14</v>
      </c>
      <c r="C249">
        <v>1625249</v>
      </c>
      <c r="D249">
        <v>1277633</v>
      </c>
      <c r="E249">
        <v>70424.149999999994</v>
      </c>
      <c r="F249">
        <v>121910.17</v>
      </c>
    </row>
    <row r="250" spans="1:6" x14ac:dyDescent="0.3">
      <c r="A250" t="s">
        <v>41</v>
      </c>
      <c r="B250" t="s">
        <v>15</v>
      </c>
      <c r="C250">
        <v>1524755</v>
      </c>
      <c r="D250">
        <v>1176741</v>
      </c>
      <c r="E250">
        <v>68882.990000000005</v>
      </c>
      <c r="F250">
        <v>134571.35999999999</v>
      </c>
    </row>
    <row r="251" spans="1:6" x14ac:dyDescent="0.3">
      <c r="A251" t="s">
        <v>41</v>
      </c>
      <c r="B251" t="s">
        <v>16</v>
      </c>
      <c r="C251">
        <v>1750515</v>
      </c>
      <c r="D251">
        <v>1368751</v>
      </c>
      <c r="E251">
        <v>66984.479999999996</v>
      </c>
      <c r="F251">
        <v>120570.45</v>
      </c>
    </row>
    <row r="252" spans="1:6" x14ac:dyDescent="0.3">
      <c r="A252" t="s">
        <v>41</v>
      </c>
      <c r="B252" t="s">
        <v>17</v>
      </c>
      <c r="C252">
        <v>1518520</v>
      </c>
      <c r="D252">
        <v>1209070</v>
      </c>
      <c r="E252">
        <v>66437.83</v>
      </c>
      <c r="F252">
        <v>118942.24</v>
      </c>
    </row>
    <row r="253" spans="1:6" x14ac:dyDescent="0.3">
      <c r="A253" t="s">
        <v>41</v>
      </c>
      <c r="B253" t="s">
        <v>18</v>
      </c>
      <c r="C253">
        <v>1630726</v>
      </c>
      <c r="D253">
        <v>1298415</v>
      </c>
      <c r="E253">
        <v>67376.39</v>
      </c>
      <c r="F253">
        <v>118754.96</v>
      </c>
    </row>
    <row r="254" spans="1:6" x14ac:dyDescent="0.3">
      <c r="A254" t="s">
        <v>41</v>
      </c>
      <c r="B254" t="s">
        <v>19</v>
      </c>
      <c r="C254">
        <v>1579021</v>
      </c>
      <c r="D254">
        <v>1228302</v>
      </c>
      <c r="E254">
        <v>68244.33</v>
      </c>
      <c r="F254">
        <v>127957.09</v>
      </c>
    </row>
    <row r="255" spans="1:6" x14ac:dyDescent="0.3">
      <c r="A255" t="s">
        <v>41</v>
      </c>
      <c r="B255" t="s">
        <v>20</v>
      </c>
      <c r="C255">
        <v>1743753</v>
      </c>
      <c r="D255">
        <v>1368349</v>
      </c>
      <c r="E255">
        <v>69649.86</v>
      </c>
      <c r="F255">
        <v>113275.57</v>
      </c>
    </row>
    <row r="256" spans="1:6" x14ac:dyDescent="0.3">
      <c r="A256" t="s">
        <v>41</v>
      </c>
      <c r="B256" t="s">
        <v>21</v>
      </c>
      <c r="C256">
        <v>1643316</v>
      </c>
      <c r="D256">
        <v>1270224</v>
      </c>
      <c r="E256">
        <v>68391.740000000005</v>
      </c>
      <c r="F256">
        <v>119185.18</v>
      </c>
    </row>
    <row r="257" spans="1:6" x14ac:dyDescent="0.3">
      <c r="A257" t="s">
        <v>41</v>
      </c>
      <c r="B257" t="s">
        <v>22</v>
      </c>
      <c r="C257">
        <v>1558102</v>
      </c>
      <c r="D257">
        <v>1245941</v>
      </c>
      <c r="E257">
        <v>68086.679999999993</v>
      </c>
      <c r="F257">
        <v>129612.88</v>
      </c>
    </row>
    <row r="258" spans="1:6" x14ac:dyDescent="0.3">
      <c r="A258" t="s">
        <v>41</v>
      </c>
      <c r="B258" t="s">
        <v>23</v>
      </c>
      <c r="C258">
        <v>1587634</v>
      </c>
      <c r="D258">
        <v>1234897</v>
      </c>
      <c r="E258">
        <v>69207.58</v>
      </c>
      <c r="F258">
        <v>129460.21</v>
      </c>
    </row>
    <row r="259" spans="1:6" x14ac:dyDescent="0.3">
      <c r="A259" t="s">
        <v>41</v>
      </c>
      <c r="B259" t="s">
        <v>24</v>
      </c>
      <c r="C259">
        <v>1643272</v>
      </c>
      <c r="D259">
        <v>1305094</v>
      </c>
      <c r="E259">
        <v>67067.17</v>
      </c>
      <c r="F259">
        <v>123554.72</v>
      </c>
    </row>
    <row r="260" spans="1:6" x14ac:dyDescent="0.3">
      <c r="A260" t="s">
        <v>41</v>
      </c>
      <c r="B260" t="s">
        <v>25</v>
      </c>
      <c r="C260">
        <v>1508570</v>
      </c>
      <c r="D260">
        <v>1214392</v>
      </c>
      <c r="E260">
        <v>15985.73</v>
      </c>
      <c r="F260">
        <v>25159.119999999999</v>
      </c>
    </row>
    <row r="261" spans="1:6" x14ac:dyDescent="0.3">
      <c r="A261" t="s">
        <v>41</v>
      </c>
      <c r="B261" t="s">
        <v>26</v>
      </c>
      <c r="C261">
        <v>1544509</v>
      </c>
      <c r="D261">
        <v>1226704</v>
      </c>
      <c r="E261">
        <v>15137.64</v>
      </c>
      <c r="F261">
        <v>25427.63</v>
      </c>
    </row>
    <row r="262" spans="1:6" x14ac:dyDescent="0.3">
      <c r="A262" t="s">
        <v>41</v>
      </c>
      <c r="B262" t="s">
        <v>27</v>
      </c>
      <c r="C262">
        <v>1767701</v>
      </c>
      <c r="D262">
        <v>1387537</v>
      </c>
      <c r="E262">
        <v>15632.72</v>
      </c>
      <c r="F262">
        <v>25180.81</v>
      </c>
    </row>
    <row r="263" spans="1:6" x14ac:dyDescent="0.3">
      <c r="A263" t="s">
        <v>41</v>
      </c>
      <c r="B263" t="s">
        <v>28</v>
      </c>
      <c r="C263">
        <v>1471104</v>
      </c>
      <c r="D263">
        <v>1167663</v>
      </c>
      <c r="E263">
        <v>16053.37</v>
      </c>
      <c r="F263">
        <v>27284.95</v>
      </c>
    </row>
    <row r="264" spans="1:6" x14ac:dyDescent="0.3">
      <c r="A264" t="s">
        <v>41</v>
      </c>
      <c r="B264" t="s">
        <v>31</v>
      </c>
      <c r="C264">
        <v>1773164</v>
      </c>
      <c r="D264">
        <v>1380125</v>
      </c>
      <c r="E264">
        <v>16289.79</v>
      </c>
      <c r="F264">
        <v>26061.17</v>
      </c>
    </row>
    <row r="265" spans="1:6" x14ac:dyDescent="0.3">
      <c r="A265" t="s">
        <v>41</v>
      </c>
      <c r="B265" t="s">
        <v>37</v>
      </c>
      <c r="C265">
        <v>3149646</v>
      </c>
      <c r="D265">
        <v>2463405</v>
      </c>
      <c r="E265">
        <v>16031.28</v>
      </c>
      <c r="F265">
        <v>26031</v>
      </c>
    </row>
    <row r="266" spans="1:6" x14ac:dyDescent="0.3">
      <c r="A266" t="s">
        <v>41</v>
      </c>
      <c r="B266" t="s">
        <v>32</v>
      </c>
      <c r="C266">
        <v>1824696</v>
      </c>
      <c r="D266">
        <v>1424571</v>
      </c>
      <c r="E266">
        <v>16315.32</v>
      </c>
      <c r="F266">
        <v>30572.38</v>
      </c>
    </row>
    <row r="267" spans="1:6" x14ac:dyDescent="0.3">
      <c r="A267" t="s">
        <v>42</v>
      </c>
      <c r="B267" t="s">
        <v>7</v>
      </c>
      <c r="C267">
        <v>1561951</v>
      </c>
      <c r="D267">
        <v>1200219</v>
      </c>
      <c r="E267">
        <v>67579.58</v>
      </c>
      <c r="F267">
        <v>123819.36</v>
      </c>
    </row>
    <row r="268" spans="1:6" x14ac:dyDescent="0.3">
      <c r="A268" t="s">
        <v>42</v>
      </c>
      <c r="B268" t="s">
        <v>8</v>
      </c>
      <c r="C268">
        <v>1648311</v>
      </c>
      <c r="D268">
        <v>1292279</v>
      </c>
      <c r="E268">
        <v>68594.070000000007</v>
      </c>
      <c r="F268">
        <v>119070.97</v>
      </c>
    </row>
    <row r="269" spans="1:6" x14ac:dyDescent="0.3">
      <c r="A269" t="s">
        <v>42</v>
      </c>
      <c r="B269" t="s">
        <v>9</v>
      </c>
      <c r="C269">
        <v>1665628</v>
      </c>
      <c r="D269">
        <v>1304330</v>
      </c>
      <c r="E269">
        <v>70049.009999999995</v>
      </c>
      <c r="F269">
        <v>116966.07</v>
      </c>
    </row>
    <row r="270" spans="1:6" x14ac:dyDescent="0.3">
      <c r="A270" t="s">
        <v>42</v>
      </c>
      <c r="B270" t="s">
        <v>10</v>
      </c>
      <c r="C270">
        <v>1661728</v>
      </c>
      <c r="D270">
        <v>1261513</v>
      </c>
      <c r="E270">
        <v>68091.53</v>
      </c>
      <c r="F270">
        <v>129026.83</v>
      </c>
    </row>
    <row r="271" spans="1:6" x14ac:dyDescent="0.3">
      <c r="A271" t="s">
        <v>42</v>
      </c>
      <c r="B271" t="s">
        <v>11</v>
      </c>
      <c r="C271">
        <v>1593261</v>
      </c>
      <c r="D271">
        <v>1208629</v>
      </c>
      <c r="E271">
        <v>69060.27</v>
      </c>
      <c r="F271">
        <v>117269.55</v>
      </c>
    </row>
    <row r="272" spans="1:6" x14ac:dyDescent="0.3">
      <c r="A272" t="s">
        <v>42</v>
      </c>
      <c r="B272" t="s">
        <v>12</v>
      </c>
      <c r="C272">
        <v>1567163</v>
      </c>
      <c r="D272">
        <v>1191943</v>
      </c>
      <c r="E272">
        <v>69383.710000000006</v>
      </c>
      <c r="F272">
        <v>118069</v>
      </c>
    </row>
    <row r="273" spans="1:6" x14ac:dyDescent="0.3">
      <c r="A273" t="s">
        <v>42</v>
      </c>
      <c r="B273" t="s">
        <v>13</v>
      </c>
      <c r="C273">
        <v>1650962</v>
      </c>
      <c r="D273">
        <v>1264362</v>
      </c>
      <c r="E273">
        <v>70695.78</v>
      </c>
      <c r="F273">
        <v>113362.63</v>
      </c>
    </row>
    <row r="274" spans="1:6" x14ac:dyDescent="0.3">
      <c r="A274" t="s">
        <v>42</v>
      </c>
      <c r="B274" t="s">
        <v>14</v>
      </c>
      <c r="C274">
        <v>1734416</v>
      </c>
      <c r="D274">
        <v>1320687</v>
      </c>
      <c r="E274">
        <v>68468.600000000006</v>
      </c>
      <c r="F274">
        <v>138996.70000000001</v>
      </c>
    </row>
    <row r="275" spans="1:6" x14ac:dyDescent="0.3">
      <c r="A275" t="s">
        <v>42</v>
      </c>
      <c r="B275" t="s">
        <v>15</v>
      </c>
      <c r="C275">
        <v>1554238</v>
      </c>
      <c r="D275">
        <v>1196208</v>
      </c>
      <c r="E275">
        <v>68266.039999999994</v>
      </c>
      <c r="F275">
        <v>114929.57</v>
      </c>
    </row>
    <row r="276" spans="1:6" x14ac:dyDescent="0.3">
      <c r="A276" t="s">
        <v>42</v>
      </c>
      <c r="B276" t="s">
        <v>16</v>
      </c>
      <c r="C276">
        <v>1747584</v>
      </c>
      <c r="D276">
        <v>1357459</v>
      </c>
      <c r="E276">
        <v>70260.52</v>
      </c>
      <c r="F276">
        <v>112769.51</v>
      </c>
    </row>
    <row r="277" spans="1:6" x14ac:dyDescent="0.3">
      <c r="A277" t="s">
        <v>42</v>
      </c>
      <c r="B277" t="s">
        <v>17</v>
      </c>
      <c r="C277">
        <v>1740931</v>
      </c>
      <c r="D277">
        <v>1328757</v>
      </c>
      <c r="E277">
        <v>68594.039999999994</v>
      </c>
      <c r="F277">
        <v>137936.39000000001</v>
      </c>
    </row>
    <row r="278" spans="1:6" x14ac:dyDescent="0.3">
      <c r="A278" t="s">
        <v>42</v>
      </c>
      <c r="B278" t="s">
        <v>18</v>
      </c>
      <c r="C278">
        <v>1648081</v>
      </c>
      <c r="D278">
        <v>1265019</v>
      </c>
      <c r="E278">
        <v>68684.570000000007</v>
      </c>
      <c r="F278">
        <v>113660.38</v>
      </c>
    </row>
    <row r="279" spans="1:6" x14ac:dyDescent="0.3">
      <c r="A279" t="s">
        <v>42</v>
      </c>
      <c r="B279" t="s">
        <v>19</v>
      </c>
      <c r="C279">
        <v>1709096</v>
      </c>
      <c r="D279">
        <v>1335753</v>
      </c>
      <c r="E279">
        <v>68829</v>
      </c>
      <c r="F279">
        <v>114543.2</v>
      </c>
    </row>
    <row r="280" spans="1:6" x14ac:dyDescent="0.3">
      <c r="A280" t="s">
        <v>42</v>
      </c>
      <c r="B280" t="s">
        <v>20</v>
      </c>
      <c r="C280">
        <v>1620074</v>
      </c>
      <c r="D280">
        <v>1268183</v>
      </c>
      <c r="E280">
        <v>68667.69</v>
      </c>
      <c r="F280">
        <v>119216.24</v>
      </c>
    </row>
    <row r="281" spans="1:6" x14ac:dyDescent="0.3">
      <c r="A281" t="s">
        <v>42</v>
      </c>
      <c r="B281" t="s">
        <v>21</v>
      </c>
      <c r="C281">
        <v>1592946</v>
      </c>
      <c r="D281">
        <v>1216743</v>
      </c>
      <c r="E281">
        <v>67879.23</v>
      </c>
      <c r="F281">
        <v>113879.45</v>
      </c>
    </row>
    <row r="282" spans="1:6" x14ac:dyDescent="0.3">
      <c r="A282" t="s">
        <v>42</v>
      </c>
      <c r="B282" t="s">
        <v>22</v>
      </c>
      <c r="C282">
        <v>1601070</v>
      </c>
      <c r="D282">
        <v>1242182</v>
      </c>
      <c r="E282">
        <v>71078.78</v>
      </c>
      <c r="F282">
        <v>119219.88</v>
      </c>
    </row>
    <row r="283" spans="1:6" x14ac:dyDescent="0.3">
      <c r="A283" t="s">
        <v>42</v>
      </c>
      <c r="B283" t="s">
        <v>23</v>
      </c>
      <c r="C283">
        <v>1693224</v>
      </c>
      <c r="D283">
        <v>1281831</v>
      </c>
      <c r="E283">
        <v>67942.52</v>
      </c>
      <c r="F283">
        <v>130591.57</v>
      </c>
    </row>
    <row r="284" spans="1:6" x14ac:dyDescent="0.3">
      <c r="A284" t="s">
        <v>42</v>
      </c>
      <c r="B284" t="s">
        <v>24</v>
      </c>
      <c r="C284">
        <v>1626343</v>
      </c>
      <c r="D284">
        <v>1231880</v>
      </c>
      <c r="E284">
        <v>68912.490000000005</v>
      </c>
      <c r="F284">
        <v>129601.52</v>
      </c>
    </row>
    <row r="285" spans="1:6" x14ac:dyDescent="0.3">
      <c r="A285" t="s">
        <v>42</v>
      </c>
      <c r="B285" t="s">
        <v>25</v>
      </c>
      <c r="C285">
        <v>1619385</v>
      </c>
      <c r="D285">
        <v>1264262</v>
      </c>
      <c r="E285">
        <v>16465.310000000001</v>
      </c>
      <c r="F285">
        <v>26201.46</v>
      </c>
    </row>
    <row r="286" spans="1:6" x14ac:dyDescent="0.3">
      <c r="A286" t="s">
        <v>42</v>
      </c>
      <c r="B286" t="s">
        <v>26</v>
      </c>
      <c r="C286">
        <v>1718692</v>
      </c>
      <c r="D286">
        <v>1332709</v>
      </c>
      <c r="E286">
        <v>16441.97</v>
      </c>
      <c r="F286">
        <v>27297.19</v>
      </c>
    </row>
    <row r="287" spans="1:6" x14ac:dyDescent="0.3">
      <c r="A287" t="s">
        <v>42</v>
      </c>
      <c r="B287" t="s">
        <v>27</v>
      </c>
      <c r="C287">
        <v>1588155</v>
      </c>
      <c r="D287">
        <v>1209575</v>
      </c>
      <c r="E287">
        <v>16232.58</v>
      </c>
      <c r="F287">
        <v>26374.93</v>
      </c>
    </row>
    <row r="288" spans="1:6" x14ac:dyDescent="0.3">
      <c r="A288" t="s">
        <v>42</v>
      </c>
      <c r="B288" t="s">
        <v>28</v>
      </c>
      <c r="C288">
        <v>1672231</v>
      </c>
      <c r="D288">
        <v>1305714</v>
      </c>
      <c r="E288">
        <v>15698.72</v>
      </c>
      <c r="F288">
        <v>30656.83</v>
      </c>
    </row>
    <row r="289" spans="1:6" x14ac:dyDescent="0.3">
      <c r="A289" t="s">
        <v>42</v>
      </c>
      <c r="B289" t="s">
        <v>31</v>
      </c>
      <c r="C289">
        <v>2022508</v>
      </c>
      <c r="D289">
        <v>1574214</v>
      </c>
      <c r="E289">
        <v>15999.27</v>
      </c>
      <c r="F289">
        <v>27347.01</v>
      </c>
    </row>
    <row r="290" spans="1:6" x14ac:dyDescent="0.3">
      <c r="A290" t="s">
        <v>42</v>
      </c>
      <c r="B290" t="s">
        <v>37</v>
      </c>
      <c r="C290">
        <v>3242555</v>
      </c>
      <c r="D290">
        <v>2498768</v>
      </c>
      <c r="E290">
        <v>16235.88</v>
      </c>
      <c r="F290">
        <v>29905.439999999999</v>
      </c>
    </row>
    <row r="291" spans="1:6" x14ac:dyDescent="0.3">
      <c r="A291" t="s">
        <v>42</v>
      </c>
      <c r="B291" t="s">
        <v>32</v>
      </c>
      <c r="C291">
        <v>1916548</v>
      </c>
      <c r="D291">
        <v>1470751</v>
      </c>
      <c r="E291">
        <v>16662.82</v>
      </c>
      <c r="F291">
        <v>29792.1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8A3C-8DDA-4ACA-9643-4B1B6BB3BAF3}">
  <dimension ref="A1:D293"/>
  <sheetViews>
    <sheetView topLeftCell="A18" workbookViewId="0">
      <selection activeCell="D297" sqref="D297"/>
    </sheetView>
  </sheetViews>
  <sheetFormatPr defaultRowHeight="14.4" x14ac:dyDescent="0.3"/>
  <cols>
    <col min="1" max="1" width="12.77734375" customWidth="1"/>
    <col min="2" max="2" width="9.5546875" customWidth="1"/>
    <col min="3" max="3" width="14.33203125" customWidth="1"/>
    <col min="4" max="4" width="19.5546875" customWidth="1"/>
  </cols>
  <sheetData>
    <row r="1" spans="1:4" x14ac:dyDescent="0.3">
      <c r="B1" t="str">
        <f>Assumptions!$B$2</f>
        <v>Base</v>
      </c>
    </row>
    <row r="3" spans="1:4" x14ac:dyDescent="0.3">
      <c r="A3" s="6" t="s">
        <v>0</v>
      </c>
      <c r="B3" s="6" t="s">
        <v>1</v>
      </c>
      <c r="C3" s="6" t="s">
        <v>57</v>
      </c>
      <c r="D3" s="6" t="s">
        <v>58</v>
      </c>
    </row>
    <row r="4" spans="1:4" x14ac:dyDescent="0.3">
      <c r="A4" t="str" cm="1">
        <f t="array" ref="A4:C293">_xlfn.HSTACK(SUBSTITUTE(historical_actuals[month_year],"-25","-26"),historical_actuals[store_id],historical_actuals[net_sales])</f>
        <v>Jan-26</v>
      </c>
      <c r="B4" t="str">
        <v>ST001</v>
      </c>
      <c r="C4" s="5">
        <v>1629783</v>
      </c>
      <c r="D4" s="5">
        <f>C4*(1+Assumptions!$B$12)</f>
        <v>1678676.49</v>
      </c>
    </row>
    <row r="5" spans="1:4" x14ac:dyDescent="0.3">
      <c r="A5" t="str">
        <v>Jan-26</v>
      </c>
      <c r="B5" t="str">
        <v>ST002</v>
      </c>
      <c r="C5" s="5">
        <v>1617193</v>
      </c>
      <c r="D5" s="5">
        <f>C5*(1+Assumptions!$B$12)</f>
        <v>1665708.79</v>
      </c>
    </row>
    <row r="6" spans="1:4" x14ac:dyDescent="0.3">
      <c r="A6" t="str">
        <v>Jan-26</v>
      </c>
      <c r="B6" t="str">
        <v>ST003</v>
      </c>
      <c r="C6" s="5">
        <v>1633880</v>
      </c>
      <c r="D6" s="5">
        <f>C6*(1+Assumptions!$B$12)</f>
        <v>1682896.4000000001</v>
      </c>
    </row>
    <row r="7" spans="1:4" x14ac:dyDescent="0.3">
      <c r="A7" t="str">
        <v>Jan-26</v>
      </c>
      <c r="B7" t="str">
        <v>ST004</v>
      </c>
      <c r="C7" s="5">
        <v>1620996</v>
      </c>
      <c r="D7" s="5">
        <f>C7*(1+Assumptions!$B$12)</f>
        <v>1669625.8800000001</v>
      </c>
    </row>
    <row r="8" spans="1:4" x14ac:dyDescent="0.3">
      <c r="A8" t="str">
        <v>Jan-26</v>
      </c>
      <c r="B8" t="str">
        <v>ST005</v>
      </c>
      <c r="C8" s="5">
        <v>1540837</v>
      </c>
      <c r="D8" s="5">
        <f>C8*(1+Assumptions!$B$12)</f>
        <v>1587062.11</v>
      </c>
    </row>
    <row r="9" spans="1:4" x14ac:dyDescent="0.3">
      <c r="A9" t="str">
        <v>Jan-26</v>
      </c>
      <c r="B9" t="str">
        <v>ST006</v>
      </c>
      <c r="C9" s="5">
        <v>1490262</v>
      </c>
      <c r="D9" s="5">
        <f>C9*(1+Assumptions!$B$12)</f>
        <v>1534969.86</v>
      </c>
    </row>
    <row r="10" spans="1:4" x14ac:dyDescent="0.3">
      <c r="A10" t="str">
        <v>Jan-26</v>
      </c>
      <c r="B10" t="str">
        <v>ST007</v>
      </c>
      <c r="C10" s="5">
        <v>1722278</v>
      </c>
      <c r="D10" s="5">
        <f>C10*(1+Assumptions!$B$12)</f>
        <v>1773946.34</v>
      </c>
    </row>
    <row r="11" spans="1:4" x14ac:dyDescent="0.3">
      <c r="A11" t="str">
        <v>Jan-26</v>
      </c>
      <c r="B11" t="str">
        <v>ST008</v>
      </c>
      <c r="C11" s="5">
        <v>1766395</v>
      </c>
      <c r="D11" s="5">
        <f>C11*(1+Assumptions!$B$12)</f>
        <v>1819386.85</v>
      </c>
    </row>
    <row r="12" spans="1:4" x14ac:dyDescent="0.3">
      <c r="A12" t="str">
        <v>Jan-26</v>
      </c>
      <c r="B12" t="str">
        <v>ST009</v>
      </c>
      <c r="C12" s="5">
        <v>1664236</v>
      </c>
      <c r="D12" s="5">
        <f>C12*(1+Assumptions!$B$12)</f>
        <v>1714163.08</v>
      </c>
    </row>
    <row r="13" spans="1:4" x14ac:dyDescent="0.3">
      <c r="A13" t="str">
        <v>Jan-26</v>
      </c>
      <c r="B13" t="str">
        <v>ST010</v>
      </c>
      <c r="C13" s="5">
        <v>1544021</v>
      </c>
      <c r="D13" s="5">
        <f>C13*(1+Assumptions!$B$12)</f>
        <v>1590341.6300000001</v>
      </c>
    </row>
    <row r="14" spans="1:4" x14ac:dyDescent="0.3">
      <c r="A14" t="str">
        <v>Jan-26</v>
      </c>
      <c r="B14" t="str">
        <v>ST011</v>
      </c>
      <c r="C14" s="5">
        <v>1408002</v>
      </c>
      <c r="D14" s="5">
        <f>C14*(1+Assumptions!$B$12)</f>
        <v>1450242.06</v>
      </c>
    </row>
    <row r="15" spans="1:4" x14ac:dyDescent="0.3">
      <c r="A15" t="str">
        <v>Jan-26</v>
      </c>
      <c r="B15" t="str">
        <v>ST012</v>
      </c>
      <c r="C15" s="5">
        <v>1372555</v>
      </c>
      <c r="D15" s="5">
        <f>C15*(1+Assumptions!$B$12)</f>
        <v>1413731.6500000001</v>
      </c>
    </row>
    <row r="16" spans="1:4" x14ac:dyDescent="0.3">
      <c r="A16" t="str">
        <v>Jan-26</v>
      </c>
      <c r="B16" t="str">
        <v>ST013</v>
      </c>
      <c r="C16" s="5">
        <v>1469056</v>
      </c>
      <c r="D16" s="5">
        <f>C16*(1+Assumptions!$B$12)</f>
        <v>1513127.68</v>
      </c>
    </row>
    <row r="17" spans="1:4" x14ac:dyDescent="0.3">
      <c r="A17" t="str">
        <v>Jan-26</v>
      </c>
      <c r="B17" t="str">
        <v>ST014</v>
      </c>
      <c r="C17" s="5">
        <v>1618208</v>
      </c>
      <c r="D17" s="5">
        <f>C17*(1+Assumptions!$B$12)</f>
        <v>1666754.24</v>
      </c>
    </row>
    <row r="18" spans="1:4" x14ac:dyDescent="0.3">
      <c r="A18" t="str">
        <v>Jan-26</v>
      </c>
      <c r="B18" t="str">
        <v>ST015</v>
      </c>
      <c r="C18" s="5">
        <v>1610677</v>
      </c>
      <c r="D18" s="5">
        <f>C18*(1+Assumptions!$B$12)</f>
        <v>1658997.31</v>
      </c>
    </row>
    <row r="19" spans="1:4" x14ac:dyDescent="0.3">
      <c r="A19" t="str">
        <v>Jan-26</v>
      </c>
      <c r="B19" t="str">
        <v>ST016</v>
      </c>
      <c r="C19" s="5">
        <v>1553143</v>
      </c>
      <c r="D19" s="5">
        <f>C19*(1+Assumptions!$B$12)</f>
        <v>1599737.29</v>
      </c>
    </row>
    <row r="20" spans="1:4" x14ac:dyDescent="0.3">
      <c r="A20" t="str">
        <v>Jan-26</v>
      </c>
      <c r="B20" t="str">
        <v>ST017</v>
      </c>
      <c r="C20" s="5">
        <v>1682029</v>
      </c>
      <c r="D20" s="5">
        <f>C20*(1+Assumptions!$B$12)</f>
        <v>1732489.87</v>
      </c>
    </row>
    <row r="21" spans="1:4" x14ac:dyDescent="0.3">
      <c r="A21" t="str">
        <v>Jan-26</v>
      </c>
      <c r="B21" t="str">
        <v>ST018</v>
      </c>
      <c r="C21" s="5">
        <v>1593168</v>
      </c>
      <c r="D21" s="5">
        <f>C21*(1+Assumptions!$B$12)</f>
        <v>1640963.04</v>
      </c>
    </row>
    <row r="22" spans="1:4" x14ac:dyDescent="0.3">
      <c r="A22" t="str">
        <v>Jan-26</v>
      </c>
      <c r="B22" t="str">
        <v>ST019</v>
      </c>
      <c r="C22" s="5">
        <v>1560284</v>
      </c>
      <c r="D22" s="5">
        <f>C22*(1+Assumptions!$B$12)</f>
        <v>1607092.52</v>
      </c>
    </row>
    <row r="23" spans="1:4" x14ac:dyDescent="0.3">
      <c r="A23" t="str">
        <v>Jan-26</v>
      </c>
      <c r="B23" t="str">
        <v>ST020</v>
      </c>
      <c r="C23" s="5">
        <v>1407687</v>
      </c>
      <c r="D23" s="5">
        <f>C23*(1+Assumptions!$B$12)</f>
        <v>1449917.61</v>
      </c>
    </row>
    <row r="24" spans="1:4" x14ac:dyDescent="0.3">
      <c r="A24" t="str">
        <v>Jan-26</v>
      </c>
      <c r="B24" t="str">
        <v>ST021</v>
      </c>
      <c r="C24" s="5">
        <v>1563663</v>
      </c>
      <c r="D24" s="5">
        <f>C24*(1+Assumptions!$B$12)</f>
        <v>1610572.8900000001</v>
      </c>
    </row>
    <row r="25" spans="1:4" x14ac:dyDescent="0.3">
      <c r="A25" t="str">
        <v>Jan-26</v>
      </c>
      <c r="B25" t="str">
        <v>ST022</v>
      </c>
      <c r="C25" s="5">
        <v>1651565</v>
      </c>
      <c r="D25" s="5">
        <f>C25*(1+Assumptions!$B$12)</f>
        <v>1701111.95</v>
      </c>
    </row>
    <row r="26" spans="1:4" x14ac:dyDescent="0.3">
      <c r="A26" t="str">
        <v>Feb-26</v>
      </c>
      <c r="B26" t="str">
        <v>ST001</v>
      </c>
      <c r="C26" s="5">
        <v>1453835</v>
      </c>
      <c r="D26" s="5">
        <f>C26*(1+Assumptions!$B$12)</f>
        <v>1497450.05</v>
      </c>
    </row>
    <row r="27" spans="1:4" x14ac:dyDescent="0.3">
      <c r="A27" t="str">
        <v>Feb-26</v>
      </c>
      <c r="B27" t="str">
        <v>ST002</v>
      </c>
      <c r="C27" s="5">
        <v>1544334</v>
      </c>
      <c r="D27" s="5">
        <f>C27*(1+Assumptions!$B$12)</f>
        <v>1590664.02</v>
      </c>
    </row>
    <row r="28" spans="1:4" x14ac:dyDescent="0.3">
      <c r="A28" t="str">
        <v>Feb-26</v>
      </c>
      <c r="B28" t="str">
        <v>ST003</v>
      </c>
      <c r="C28" s="5">
        <v>1427044</v>
      </c>
      <c r="D28" s="5">
        <f>C28*(1+Assumptions!$B$12)</f>
        <v>1469855.32</v>
      </c>
    </row>
    <row r="29" spans="1:4" x14ac:dyDescent="0.3">
      <c r="A29" t="str">
        <v>Feb-26</v>
      </c>
      <c r="B29" t="str">
        <v>ST004</v>
      </c>
      <c r="C29" s="5">
        <v>1392310</v>
      </c>
      <c r="D29" s="5">
        <f>C29*(1+Assumptions!$B$12)</f>
        <v>1434079.3</v>
      </c>
    </row>
    <row r="30" spans="1:4" x14ac:dyDescent="0.3">
      <c r="A30" t="str">
        <v>Feb-26</v>
      </c>
      <c r="B30" t="str">
        <v>ST005</v>
      </c>
      <c r="C30" s="5">
        <v>1579876</v>
      </c>
      <c r="D30" s="5">
        <f>C30*(1+Assumptions!$B$12)</f>
        <v>1627272.28</v>
      </c>
    </row>
    <row r="31" spans="1:4" x14ac:dyDescent="0.3">
      <c r="A31" t="str">
        <v>Feb-26</v>
      </c>
      <c r="B31" t="str">
        <v>ST006</v>
      </c>
      <c r="C31" s="5">
        <v>1539272</v>
      </c>
      <c r="D31" s="5">
        <f>C31*(1+Assumptions!$B$12)</f>
        <v>1585450.1600000001</v>
      </c>
    </row>
    <row r="32" spans="1:4" x14ac:dyDescent="0.3">
      <c r="A32" t="str">
        <v>Feb-26</v>
      </c>
      <c r="B32" t="str">
        <v>ST007</v>
      </c>
      <c r="C32" s="5">
        <v>1453896</v>
      </c>
      <c r="D32" s="5">
        <f>C32*(1+Assumptions!$B$12)</f>
        <v>1497512.8800000001</v>
      </c>
    </row>
    <row r="33" spans="1:4" x14ac:dyDescent="0.3">
      <c r="A33" t="str">
        <v>Feb-26</v>
      </c>
      <c r="B33" t="str">
        <v>ST008</v>
      </c>
      <c r="C33" s="5">
        <v>1279631</v>
      </c>
      <c r="D33" s="5">
        <f>C33*(1+Assumptions!$B$12)</f>
        <v>1318019.93</v>
      </c>
    </row>
    <row r="34" spans="1:4" x14ac:dyDescent="0.3">
      <c r="A34" t="str">
        <v>Feb-26</v>
      </c>
      <c r="B34" t="str">
        <v>ST009</v>
      </c>
      <c r="C34" s="5">
        <v>1405211</v>
      </c>
      <c r="D34" s="5">
        <f>C34*(1+Assumptions!$B$12)</f>
        <v>1447367.33</v>
      </c>
    </row>
    <row r="35" spans="1:4" x14ac:dyDescent="0.3">
      <c r="A35" t="str">
        <v>Feb-26</v>
      </c>
      <c r="B35" t="str">
        <v>ST010</v>
      </c>
      <c r="C35" s="5">
        <v>1469979</v>
      </c>
      <c r="D35" s="5">
        <f>C35*(1+Assumptions!$B$12)</f>
        <v>1514078.37</v>
      </c>
    </row>
    <row r="36" spans="1:4" x14ac:dyDescent="0.3">
      <c r="A36" t="str">
        <v>Feb-26</v>
      </c>
      <c r="B36" t="str">
        <v>ST011</v>
      </c>
      <c r="C36" s="5">
        <v>1436036</v>
      </c>
      <c r="D36" s="5">
        <f>C36*(1+Assumptions!$B$12)</f>
        <v>1479117.08</v>
      </c>
    </row>
    <row r="37" spans="1:4" x14ac:dyDescent="0.3">
      <c r="A37" t="str">
        <v>Feb-26</v>
      </c>
      <c r="B37" t="str">
        <v>ST012</v>
      </c>
      <c r="C37" s="5">
        <v>1514190</v>
      </c>
      <c r="D37" s="5">
        <f>C37*(1+Assumptions!$B$12)</f>
        <v>1559615.7</v>
      </c>
    </row>
    <row r="38" spans="1:4" x14ac:dyDescent="0.3">
      <c r="A38" t="str">
        <v>Feb-26</v>
      </c>
      <c r="B38" t="str">
        <v>ST013</v>
      </c>
      <c r="C38" s="5">
        <v>1358789</v>
      </c>
      <c r="D38" s="5">
        <f>C38*(1+Assumptions!$B$12)</f>
        <v>1399552.67</v>
      </c>
    </row>
    <row r="39" spans="1:4" x14ac:dyDescent="0.3">
      <c r="A39" t="str">
        <v>Feb-26</v>
      </c>
      <c r="B39" t="str">
        <v>ST014</v>
      </c>
      <c r="C39" s="5">
        <v>1370538</v>
      </c>
      <c r="D39" s="5">
        <f>C39*(1+Assumptions!$B$12)</f>
        <v>1411654.1400000001</v>
      </c>
    </row>
    <row r="40" spans="1:4" x14ac:dyDescent="0.3">
      <c r="A40" t="str">
        <v>Feb-26</v>
      </c>
      <c r="B40" t="str">
        <v>ST015</v>
      </c>
      <c r="C40" s="5">
        <v>1514678</v>
      </c>
      <c r="D40" s="5">
        <f>C40*(1+Assumptions!$B$12)</f>
        <v>1560118.34</v>
      </c>
    </row>
    <row r="41" spans="1:4" x14ac:dyDescent="0.3">
      <c r="A41" t="str">
        <v>Feb-26</v>
      </c>
      <c r="B41" t="str">
        <v>ST016</v>
      </c>
      <c r="C41" s="5">
        <v>1342383</v>
      </c>
      <c r="D41" s="5">
        <f>C41*(1+Assumptions!$B$12)</f>
        <v>1382654.49</v>
      </c>
    </row>
    <row r="42" spans="1:4" x14ac:dyDescent="0.3">
      <c r="A42" t="str">
        <v>Feb-26</v>
      </c>
      <c r="B42" t="str">
        <v>ST017</v>
      </c>
      <c r="C42" s="5">
        <v>1415320</v>
      </c>
      <c r="D42" s="5">
        <f>C42*(1+Assumptions!$B$12)</f>
        <v>1457779.6</v>
      </c>
    </row>
    <row r="43" spans="1:4" x14ac:dyDescent="0.3">
      <c r="A43" t="str">
        <v>Feb-26</v>
      </c>
      <c r="B43" t="str">
        <v>ST018</v>
      </c>
      <c r="C43" s="5">
        <v>1492351</v>
      </c>
      <c r="D43" s="5">
        <f>C43*(1+Assumptions!$B$12)</f>
        <v>1537121.53</v>
      </c>
    </row>
    <row r="44" spans="1:4" x14ac:dyDescent="0.3">
      <c r="A44" t="str">
        <v>Feb-26</v>
      </c>
      <c r="B44" t="str">
        <v>ST019</v>
      </c>
      <c r="C44" s="5">
        <v>1411028</v>
      </c>
      <c r="D44" s="5">
        <f>C44*(1+Assumptions!$B$12)</f>
        <v>1453358.84</v>
      </c>
    </row>
    <row r="45" spans="1:4" x14ac:dyDescent="0.3">
      <c r="A45" t="str">
        <v>Feb-26</v>
      </c>
      <c r="B45" t="str">
        <v>ST020</v>
      </c>
      <c r="C45" s="5">
        <v>1530235</v>
      </c>
      <c r="D45" s="5">
        <f>C45*(1+Assumptions!$B$12)</f>
        <v>1576142.05</v>
      </c>
    </row>
    <row r="46" spans="1:4" x14ac:dyDescent="0.3">
      <c r="A46" t="str">
        <v>Feb-26</v>
      </c>
      <c r="B46" t="str">
        <v>ST021</v>
      </c>
      <c r="C46" s="5">
        <v>1328931</v>
      </c>
      <c r="D46" s="5">
        <f>C46*(1+Assumptions!$B$12)</f>
        <v>1368798.93</v>
      </c>
    </row>
    <row r="47" spans="1:4" x14ac:dyDescent="0.3">
      <c r="A47" t="str">
        <v>Feb-26</v>
      </c>
      <c r="B47" t="str">
        <v>ST022</v>
      </c>
      <c r="C47" s="5">
        <v>1485406</v>
      </c>
      <c r="D47" s="5">
        <f>C47*(1+Assumptions!$B$12)</f>
        <v>1529968.18</v>
      </c>
    </row>
    <row r="48" spans="1:4" x14ac:dyDescent="0.3">
      <c r="A48" t="str">
        <v>Mar-26</v>
      </c>
      <c r="B48" t="str">
        <v>ST001</v>
      </c>
      <c r="C48" s="5">
        <v>1748449</v>
      </c>
      <c r="D48" s="5">
        <f>C48*(1+Assumptions!$B$12)</f>
        <v>1800902.47</v>
      </c>
    </row>
    <row r="49" spans="1:4" x14ac:dyDescent="0.3">
      <c r="A49" t="str">
        <v>Mar-26</v>
      </c>
      <c r="B49" t="str">
        <v>ST002</v>
      </c>
      <c r="C49" s="5">
        <v>1665712</v>
      </c>
      <c r="D49" s="5">
        <f>C49*(1+Assumptions!$B$12)</f>
        <v>1715683.36</v>
      </c>
    </row>
    <row r="50" spans="1:4" x14ac:dyDescent="0.3">
      <c r="A50" t="str">
        <v>Mar-26</v>
      </c>
      <c r="B50" t="str">
        <v>ST003</v>
      </c>
      <c r="C50" s="5">
        <v>1532075</v>
      </c>
      <c r="D50" s="5">
        <f>C50*(1+Assumptions!$B$12)</f>
        <v>1578037.25</v>
      </c>
    </row>
    <row r="51" spans="1:4" x14ac:dyDescent="0.3">
      <c r="A51" t="str">
        <v>Mar-26</v>
      </c>
      <c r="B51" t="str">
        <v>ST004</v>
      </c>
      <c r="C51" s="5">
        <v>1616182</v>
      </c>
      <c r="D51" s="5">
        <f>C51*(1+Assumptions!$B$12)</f>
        <v>1664667.46</v>
      </c>
    </row>
    <row r="52" spans="1:4" x14ac:dyDescent="0.3">
      <c r="A52" t="str">
        <v>Mar-26</v>
      </c>
      <c r="B52" t="str">
        <v>ST005</v>
      </c>
      <c r="C52" s="5">
        <v>1662829</v>
      </c>
      <c r="D52" s="5">
        <f>C52*(1+Assumptions!$B$12)</f>
        <v>1712713.87</v>
      </c>
    </row>
    <row r="53" spans="1:4" x14ac:dyDescent="0.3">
      <c r="A53" t="str">
        <v>Mar-26</v>
      </c>
      <c r="B53" t="str">
        <v>ST006</v>
      </c>
      <c r="C53" s="5">
        <v>1634330</v>
      </c>
      <c r="D53" s="5">
        <f>C53*(1+Assumptions!$B$12)</f>
        <v>1683359.9000000001</v>
      </c>
    </row>
    <row r="54" spans="1:4" x14ac:dyDescent="0.3">
      <c r="A54" t="str">
        <v>Mar-26</v>
      </c>
      <c r="B54" t="str">
        <v>ST007</v>
      </c>
      <c r="C54" s="5">
        <v>1698688</v>
      </c>
      <c r="D54" s="5">
        <f>C54*(1+Assumptions!$B$12)</f>
        <v>1749648.6400000001</v>
      </c>
    </row>
    <row r="55" spans="1:4" x14ac:dyDescent="0.3">
      <c r="A55" t="str">
        <v>Mar-26</v>
      </c>
      <c r="B55" t="str">
        <v>ST008</v>
      </c>
      <c r="C55" s="5">
        <v>1563354</v>
      </c>
      <c r="D55" s="5">
        <f>C55*(1+Assumptions!$B$12)</f>
        <v>1610254.62</v>
      </c>
    </row>
    <row r="56" spans="1:4" x14ac:dyDescent="0.3">
      <c r="A56" t="str">
        <v>Mar-26</v>
      </c>
      <c r="B56" t="str">
        <v>ST009</v>
      </c>
      <c r="C56" s="5">
        <v>1575658</v>
      </c>
      <c r="D56" s="5">
        <f>C56*(1+Assumptions!$B$12)</f>
        <v>1622927.74</v>
      </c>
    </row>
    <row r="57" spans="1:4" x14ac:dyDescent="0.3">
      <c r="A57" t="str">
        <v>Mar-26</v>
      </c>
      <c r="B57" t="str">
        <v>ST010</v>
      </c>
      <c r="C57" s="5">
        <v>1692982</v>
      </c>
      <c r="D57" s="5">
        <f>C57*(1+Assumptions!$B$12)</f>
        <v>1743771.46</v>
      </c>
    </row>
    <row r="58" spans="1:4" x14ac:dyDescent="0.3">
      <c r="A58" t="str">
        <v>Mar-26</v>
      </c>
      <c r="B58" t="str">
        <v>ST011</v>
      </c>
      <c r="C58" s="5">
        <v>1906509</v>
      </c>
      <c r="D58" s="5">
        <f>C58*(1+Assumptions!$B$12)</f>
        <v>1963704.27</v>
      </c>
    </row>
    <row r="59" spans="1:4" x14ac:dyDescent="0.3">
      <c r="A59" t="str">
        <v>Mar-26</v>
      </c>
      <c r="B59" t="str">
        <v>ST012</v>
      </c>
      <c r="C59" s="5">
        <v>1684287</v>
      </c>
      <c r="D59" s="5">
        <f>C59*(1+Assumptions!$B$12)</f>
        <v>1734815.61</v>
      </c>
    </row>
    <row r="60" spans="1:4" x14ac:dyDescent="0.3">
      <c r="A60" t="str">
        <v>Mar-26</v>
      </c>
      <c r="B60" t="str">
        <v>ST013</v>
      </c>
      <c r="C60" s="5">
        <v>1616318</v>
      </c>
      <c r="D60" s="5">
        <f>C60*(1+Assumptions!$B$12)</f>
        <v>1664807.54</v>
      </c>
    </row>
    <row r="61" spans="1:4" x14ac:dyDescent="0.3">
      <c r="A61" t="str">
        <v>Mar-26</v>
      </c>
      <c r="B61" t="str">
        <v>ST014</v>
      </c>
      <c r="C61" s="5">
        <v>1423802</v>
      </c>
      <c r="D61" s="5">
        <f>C61*(1+Assumptions!$B$12)</f>
        <v>1466516.06</v>
      </c>
    </row>
    <row r="62" spans="1:4" x14ac:dyDescent="0.3">
      <c r="A62" t="str">
        <v>Mar-26</v>
      </c>
      <c r="B62" t="str">
        <v>ST015</v>
      </c>
      <c r="C62" s="5">
        <v>1676185</v>
      </c>
      <c r="D62" s="5">
        <f>C62*(1+Assumptions!$B$12)</f>
        <v>1726470.55</v>
      </c>
    </row>
    <row r="63" spans="1:4" x14ac:dyDescent="0.3">
      <c r="A63" t="str">
        <v>Mar-26</v>
      </c>
      <c r="B63" t="str">
        <v>ST016</v>
      </c>
      <c r="C63" s="5">
        <v>1658033</v>
      </c>
      <c r="D63" s="5">
        <f>C63*(1+Assumptions!$B$12)</f>
        <v>1707773.99</v>
      </c>
    </row>
    <row r="64" spans="1:4" x14ac:dyDescent="0.3">
      <c r="A64" t="str">
        <v>Mar-26</v>
      </c>
      <c r="B64" t="str">
        <v>ST017</v>
      </c>
      <c r="C64" s="5">
        <v>1407333</v>
      </c>
      <c r="D64" s="5">
        <f>C64*(1+Assumptions!$B$12)</f>
        <v>1449552.99</v>
      </c>
    </row>
    <row r="65" spans="1:4" x14ac:dyDescent="0.3">
      <c r="A65" t="str">
        <v>Mar-26</v>
      </c>
      <c r="B65" t="str">
        <v>ST018</v>
      </c>
      <c r="C65" s="5">
        <v>1757324</v>
      </c>
      <c r="D65" s="5">
        <f>C65*(1+Assumptions!$B$12)</f>
        <v>1810043.72</v>
      </c>
    </row>
    <row r="66" spans="1:4" x14ac:dyDescent="0.3">
      <c r="A66" t="str">
        <v>Mar-26</v>
      </c>
      <c r="B66" t="str">
        <v>ST019</v>
      </c>
      <c r="C66" s="5">
        <v>1774485</v>
      </c>
      <c r="D66" s="5">
        <f>C66*(1+Assumptions!$B$12)</f>
        <v>1827719.55</v>
      </c>
    </row>
    <row r="67" spans="1:4" x14ac:dyDescent="0.3">
      <c r="A67" t="str">
        <v>Mar-26</v>
      </c>
      <c r="B67" t="str">
        <v>ST020</v>
      </c>
      <c r="C67" s="5">
        <v>1633090</v>
      </c>
      <c r="D67" s="5">
        <f>C67*(1+Assumptions!$B$12)</f>
        <v>1682082.7</v>
      </c>
    </row>
    <row r="68" spans="1:4" x14ac:dyDescent="0.3">
      <c r="A68" t="str">
        <v>Mar-26</v>
      </c>
      <c r="B68" t="str">
        <v>ST021</v>
      </c>
      <c r="C68" s="5">
        <v>1486866</v>
      </c>
      <c r="D68" s="5">
        <f>C68*(1+Assumptions!$B$12)</f>
        <v>1531471.98</v>
      </c>
    </row>
    <row r="69" spans="1:4" x14ac:dyDescent="0.3">
      <c r="A69" t="str">
        <v>Mar-26</v>
      </c>
      <c r="B69" t="str">
        <v>ST022</v>
      </c>
      <c r="C69" s="5">
        <v>1562362</v>
      </c>
      <c r="D69" s="5">
        <f>C69*(1+Assumptions!$B$12)</f>
        <v>1609232.86</v>
      </c>
    </row>
    <row r="70" spans="1:4" x14ac:dyDescent="0.3">
      <c r="A70" t="str">
        <v>Mar-26</v>
      </c>
      <c r="B70" t="str">
        <v>ST023</v>
      </c>
      <c r="C70" s="5">
        <v>1352125</v>
      </c>
      <c r="D70" s="5">
        <f>C70*(1+Assumptions!$B$12)</f>
        <v>1392688.75</v>
      </c>
    </row>
    <row r="71" spans="1:4" x14ac:dyDescent="0.3">
      <c r="A71" t="str">
        <v>Mar-26</v>
      </c>
      <c r="B71" t="str">
        <v>ST025</v>
      </c>
      <c r="C71" s="5">
        <v>1798724</v>
      </c>
      <c r="D71" s="5">
        <f>C71*(1+Assumptions!$B$12)</f>
        <v>1852685.72</v>
      </c>
    </row>
    <row r="72" spans="1:4" x14ac:dyDescent="0.3">
      <c r="A72" t="str">
        <v>Apr-26</v>
      </c>
      <c r="B72" t="str">
        <v>ST001</v>
      </c>
      <c r="C72" s="5">
        <v>1589712</v>
      </c>
      <c r="D72" s="5">
        <f>C72*(1+Assumptions!$B$12)</f>
        <v>1637403.36</v>
      </c>
    </row>
    <row r="73" spans="1:4" x14ac:dyDescent="0.3">
      <c r="A73" t="str">
        <v>Apr-26</v>
      </c>
      <c r="B73" t="str">
        <v>ST002</v>
      </c>
      <c r="C73" s="5">
        <v>1645911</v>
      </c>
      <c r="D73" s="5">
        <f>C73*(1+Assumptions!$B$12)</f>
        <v>1695288.33</v>
      </c>
    </row>
    <row r="74" spans="1:4" x14ac:dyDescent="0.3">
      <c r="A74" t="str">
        <v>Apr-26</v>
      </c>
      <c r="B74" t="str">
        <v>ST003</v>
      </c>
      <c r="C74" s="5">
        <v>1343985</v>
      </c>
      <c r="D74" s="5">
        <f>C74*(1+Assumptions!$B$12)</f>
        <v>1384304.55</v>
      </c>
    </row>
    <row r="75" spans="1:4" x14ac:dyDescent="0.3">
      <c r="A75" t="str">
        <v>Apr-26</v>
      </c>
      <c r="B75" t="str">
        <v>ST004</v>
      </c>
      <c r="C75" s="5">
        <v>1454764</v>
      </c>
      <c r="D75" s="5">
        <f>C75*(1+Assumptions!$B$12)</f>
        <v>1498406.92</v>
      </c>
    </row>
    <row r="76" spans="1:4" x14ac:dyDescent="0.3">
      <c r="A76" t="str">
        <v>Apr-26</v>
      </c>
      <c r="B76" t="str">
        <v>ST005</v>
      </c>
      <c r="C76" s="5">
        <v>1351596</v>
      </c>
      <c r="D76" s="5">
        <f>C76*(1+Assumptions!$B$12)</f>
        <v>1392143.8800000001</v>
      </c>
    </row>
    <row r="77" spans="1:4" x14ac:dyDescent="0.3">
      <c r="A77" t="str">
        <v>Apr-26</v>
      </c>
      <c r="B77" t="str">
        <v>ST006</v>
      </c>
      <c r="C77" s="5">
        <v>1575417</v>
      </c>
      <c r="D77" s="5">
        <f>C77*(1+Assumptions!$B$12)</f>
        <v>1622679.51</v>
      </c>
    </row>
    <row r="78" spans="1:4" x14ac:dyDescent="0.3">
      <c r="A78" t="str">
        <v>Apr-26</v>
      </c>
      <c r="B78" t="str">
        <v>ST007</v>
      </c>
      <c r="C78" s="5">
        <v>1512502</v>
      </c>
      <c r="D78" s="5">
        <f>C78*(1+Assumptions!$B$12)</f>
        <v>1557877.06</v>
      </c>
    </row>
    <row r="79" spans="1:4" x14ac:dyDescent="0.3">
      <c r="A79" t="str">
        <v>Apr-26</v>
      </c>
      <c r="B79" t="str">
        <v>ST008</v>
      </c>
      <c r="C79" s="5">
        <v>1407744</v>
      </c>
      <c r="D79" s="5">
        <f>C79*(1+Assumptions!$B$12)</f>
        <v>1449976.32</v>
      </c>
    </row>
    <row r="80" spans="1:4" x14ac:dyDescent="0.3">
      <c r="A80" t="str">
        <v>Apr-26</v>
      </c>
      <c r="B80" t="str">
        <v>ST009</v>
      </c>
      <c r="C80" s="5">
        <v>1552628</v>
      </c>
      <c r="D80" s="5">
        <f>C80*(1+Assumptions!$B$12)</f>
        <v>1599206.84</v>
      </c>
    </row>
    <row r="81" spans="1:4" x14ac:dyDescent="0.3">
      <c r="A81" t="str">
        <v>Apr-26</v>
      </c>
      <c r="B81" t="str">
        <v>ST010</v>
      </c>
      <c r="C81" s="5">
        <v>1522490</v>
      </c>
      <c r="D81" s="5">
        <f>C81*(1+Assumptions!$B$12)</f>
        <v>1568164.7</v>
      </c>
    </row>
    <row r="82" spans="1:4" x14ac:dyDescent="0.3">
      <c r="A82" t="str">
        <v>Apr-26</v>
      </c>
      <c r="B82" t="str">
        <v>ST011</v>
      </c>
      <c r="C82" s="5">
        <v>1599932</v>
      </c>
      <c r="D82" s="5">
        <f>C82*(1+Assumptions!$B$12)</f>
        <v>1647929.96</v>
      </c>
    </row>
    <row r="83" spans="1:4" x14ac:dyDescent="0.3">
      <c r="A83" t="str">
        <v>Apr-26</v>
      </c>
      <c r="B83" t="str">
        <v>ST012</v>
      </c>
      <c r="C83" s="5">
        <v>1457551</v>
      </c>
      <c r="D83" s="5">
        <f>C83*(1+Assumptions!$B$12)</f>
        <v>1501277.53</v>
      </c>
    </row>
    <row r="84" spans="1:4" x14ac:dyDescent="0.3">
      <c r="A84" t="str">
        <v>Apr-26</v>
      </c>
      <c r="B84" t="str">
        <v>ST013</v>
      </c>
      <c r="C84" s="5">
        <v>1592711</v>
      </c>
      <c r="D84" s="5">
        <f>C84*(1+Assumptions!$B$12)</f>
        <v>1640492.33</v>
      </c>
    </row>
    <row r="85" spans="1:4" x14ac:dyDescent="0.3">
      <c r="A85" t="str">
        <v>Apr-26</v>
      </c>
      <c r="B85" t="str">
        <v>ST014</v>
      </c>
      <c r="C85" s="5">
        <v>1541443</v>
      </c>
      <c r="D85" s="5">
        <f>C85*(1+Assumptions!$B$12)</f>
        <v>1587686.29</v>
      </c>
    </row>
    <row r="86" spans="1:4" x14ac:dyDescent="0.3">
      <c r="A86" t="str">
        <v>Apr-26</v>
      </c>
      <c r="B86" t="str">
        <v>ST015</v>
      </c>
      <c r="C86" s="5">
        <v>1641300</v>
      </c>
      <c r="D86" s="5">
        <f>C86*(1+Assumptions!$B$12)</f>
        <v>1690539</v>
      </c>
    </row>
    <row r="87" spans="1:4" x14ac:dyDescent="0.3">
      <c r="A87" t="str">
        <v>Apr-26</v>
      </c>
      <c r="B87" t="str">
        <v>ST016</v>
      </c>
      <c r="C87" s="5">
        <v>1615732</v>
      </c>
      <c r="D87" s="5">
        <f>C87*(1+Assumptions!$B$12)</f>
        <v>1664203.96</v>
      </c>
    </row>
    <row r="88" spans="1:4" x14ac:dyDescent="0.3">
      <c r="A88" t="str">
        <v>Apr-26</v>
      </c>
      <c r="B88" t="str">
        <v>ST017</v>
      </c>
      <c r="C88" s="5">
        <v>1543370</v>
      </c>
      <c r="D88" s="5">
        <f>C88*(1+Assumptions!$B$12)</f>
        <v>1589671.1</v>
      </c>
    </row>
    <row r="89" spans="1:4" x14ac:dyDescent="0.3">
      <c r="A89" t="str">
        <v>Apr-26</v>
      </c>
      <c r="B89" t="str">
        <v>ST018</v>
      </c>
      <c r="C89" s="5">
        <v>1582907</v>
      </c>
      <c r="D89" s="5">
        <f>C89*(1+Assumptions!$B$12)</f>
        <v>1630394.21</v>
      </c>
    </row>
    <row r="90" spans="1:4" x14ac:dyDescent="0.3">
      <c r="A90" t="str">
        <v>Apr-26</v>
      </c>
      <c r="B90" t="str">
        <v>ST019</v>
      </c>
      <c r="C90" s="5">
        <v>1399160</v>
      </c>
      <c r="D90" s="5">
        <f>C90*(1+Assumptions!$B$12)</f>
        <v>1441134.8</v>
      </c>
    </row>
    <row r="91" spans="1:4" x14ac:dyDescent="0.3">
      <c r="A91" t="str">
        <v>Apr-26</v>
      </c>
      <c r="B91" t="str">
        <v>ST020</v>
      </c>
      <c r="C91" s="5">
        <v>1555715</v>
      </c>
      <c r="D91" s="5">
        <f>C91*(1+Assumptions!$B$12)</f>
        <v>1602386.45</v>
      </c>
    </row>
    <row r="92" spans="1:4" x14ac:dyDescent="0.3">
      <c r="A92" t="str">
        <v>Apr-26</v>
      </c>
      <c r="B92" t="str">
        <v>ST021</v>
      </c>
      <c r="C92" s="5">
        <v>1485900</v>
      </c>
      <c r="D92" s="5">
        <f>C92*(1+Assumptions!$B$12)</f>
        <v>1530477</v>
      </c>
    </row>
    <row r="93" spans="1:4" x14ac:dyDescent="0.3">
      <c r="A93" t="str">
        <v>Apr-26</v>
      </c>
      <c r="B93" t="str">
        <v>ST022</v>
      </c>
      <c r="C93" s="5">
        <v>1574403</v>
      </c>
      <c r="D93" s="5">
        <f>C93*(1+Assumptions!$B$12)</f>
        <v>1621635.09</v>
      </c>
    </row>
    <row r="94" spans="1:4" x14ac:dyDescent="0.3">
      <c r="A94" t="str">
        <v>Apr-26</v>
      </c>
      <c r="B94" t="str">
        <v>ST023</v>
      </c>
      <c r="C94" s="5">
        <v>2106742</v>
      </c>
      <c r="D94" s="5">
        <f>C94*(1+Assumptions!$B$12)</f>
        <v>2169944.2600000002</v>
      </c>
    </row>
    <row r="95" spans="1:4" x14ac:dyDescent="0.3">
      <c r="A95" t="str">
        <v>Apr-26</v>
      </c>
      <c r="B95" t="str">
        <v>ST025</v>
      </c>
      <c r="C95" s="5">
        <v>1694643</v>
      </c>
      <c r="D95" s="5">
        <f>C95*(1+Assumptions!$B$12)</f>
        <v>1745482.29</v>
      </c>
    </row>
    <row r="96" spans="1:4" x14ac:dyDescent="0.3">
      <c r="A96" t="str">
        <v>May-26</v>
      </c>
      <c r="B96" t="str">
        <v>ST001</v>
      </c>
      <c r="C96" s="5">
        <v>1418332</v>
      </c>
      <c r="D96" s="5">
        <f>C96*(1+Assumptions!$B$12)</f>
        <v>1460881.96</v>
      </c>
    </row>
    <row r="97" spans="1:4" x14ac:dyDescent="0.3">
      <c r="A97" t="str">
        <v>May-26</v>
      </c>
      <c r="B97" t="str">
        <v>ST002</v>
      </c>
      <c r="C97" s="5">
        <v>1655253</v>
      </c>
      <c r="D97" s="5">
        <f>C97*(1+Assumptions!$B$12)</f>
        <v>1704910.59</v>
      </c>
    </row>
    <row r="98" spans="1:4" x14ac:dyDescent="0.3">
      <c r="A98" t="str">
        <v>May-26</v>
      </c>
      <c r="B98" t="str">
        <v>ST003</v>
      </c>
      <c r="C98" s="5">
        <v>1665196</v>
      </c>
      <c r="D98" s="5">
        <f>C98*(1+Assumptions!$B$12)</f>
        <v>1715151.8800000001</v>
      </c>
    </row>
    <row r="99" spans="1:4" x14ac:dyDescent="0.3">
      <c r="A99" t="str">
        <v>May-26</v>
      </c>
      <c r="B99" t="str">
        <v>ST004</v>
      </c>
      <c r="C99" s="5">
        <v>1519311</v>
      </c>
      <c r="D99" s="5">
        <f>C99*(1+Assumptions!$B$12)</f>
        <v>1564890.33</v>
      </c>
    </row>
    <row r="100" spans="1:4" x14ac:dyDescent="0.3">
      <c r="A100" t="str">
        <v>May-26</v>
      </c>
      <c r="B100" t="str">
        <v>ST005</v>
      </c>
      <c r="C100" s="5">
        <v>1647599</v>
      </c>
      <c r="D100" s="5">
        <f>C100*(1+Assumptions!$B$12)</f>
        <v>1697026.97</v>
      </c>
    </row>
    <row r="101" spans="1:4" x14ac:dyDescent="0.3">
      <c r="A101" t="str">
        <v>May-26</v>
      </c>
      <c r="B101" t="str">
        <v>ST006</v>
      </c>
      <c r="C101" s="5">
        <v>1490546</v>
      </c>
      <c r="D101" s="5">
        <f>C101*(1+Assumptions!$B$12)</f>
        <v>1535262.3800000001</v>
      </c>
    </row>
    <row r="102" spans="1:4" x14ac:dyDescent="0.3">
      <c r="A102" t="str">
        <v>May-26</v>
      </c>
      <c r="B102" t="str">
        <v>ST007</v>
      </c>
      <c r="C102" s="5">
        <v>1623299</v>
      </c>
      <c r="D102" s="5">
        <f>C102*(1+Assumptions!$B$12)</f>
        <v>1671997.97</v>
      </c>
    </row>
    <row r="103" spans="1:4" x14ac:dyDescent="0.3">
      <c r="A103" t="str">
        <v>May-26</v>
      </c>
      <c r="B103" t="str">
        <v>ST008</v>
      </c>
      <c r="C103" s="5">
        <v>1620851</v>
      </c>
      <c r="D103" s="5">
        <f>C103*(1+Assumptions!$B$12)</f>
        <v>1669476.53</v>
      </c>
    </row>
    <row r="104" spans="1:4" x14ac:dyDescent="0.3">
      <c r="A104" t="str">
        <v>May-26</v>
      </c>
      <c r="B104" t="str">
        <v>ST009</v>
      </c>
      <c r="C104" s="5">
        <v>1540484</v>
      </c>
      <c r="D104" s="5">
        <f>C104*(1+Assumptions!$B$12)</f>
        <v>1586698.52</v>
      </c>
    </row>
    <row r="105" spans="1:4" x14ac:dyDescent="0.3">
      <c r="A105" t="str">
        <v>May-26</v>
      </c>
      <c r="B105" t="str">
        <v>ST010</v>
      </c>
      <c r="C105" s="5">
        <v>1523740</v>
      </c>
      <c r="D105" s="5">
        <f>C105*(1+Assumptions!$B$12)</f>
        <v>1569452.2</v>
      </c>
    </row>
    <row r="106" spans="1:4" x14ac:dyDescent="0.3">
      <c r="A106" t="str">
        <v>May-26</v>
      </c>
      <c r="B106" t="str">
        <v>ST011</v>
      </c>
      <c r="C106" s="5">
        <v>1660830</v>
      </c>
      <c r="D106" s="5">
        <f>C106*(1+Assumptions!$B$12)</f>
        <v>1710654.9000000001</v>
      </c>
    </row>
    <row r="107" spans="1:4" x14ac:dyDescent="0.3">
      <c r="A107" t="str">
        <v>May-26</v>
      </c>
      <c r="B107" t="str">
        <v>ST012</v>
      </c>
      <c r="C107" s="5">
        <v>1763434</v>
      </c>
      <c r="D107" s="5">
        <f>C107*(1+Assumptions!$B$12)</f>
        <v>1816337.02</v>
      </c>
    </row>
    <row r="108" spans="1:4" x14ac:dyDescent="0.3">
      <c r="A108" t="str">
        <v>May-26</v>
      </c>
      <c r="B108" t="str">
        <v>ST013</v>
      </c>
      <c r="C108" s="5">
        <v>1523467</v>
      </c>
      <c r="D108" s="5">
        <f>C108*(1+Assumptions!$B$12)</f>
        <v>1569171.01</v>
      </c>
    </row>
    <row r="109" spans="1:4" x14ac:dyDescent="0.3">
      <c r="A109" t="str">
        <v>May-26</v>
      </c>
      <c r="B109" t="str">
        <v>ST014</v>
      </c>
      <c r="C109" s="5">
        <v>1511159</v>
      </c>
      <c r="D109" s="5">
        <f>C109*(1+Assumptions!$B$12)</f>
        <v>1556493.77</v>
      </c>
    </row>
    <row r="110" spans="1:4" x14ac:dyDescent="0.3">
      <c r="A110" t="str">
        <v>May-26</v>
      </c>
      <c r="B110" t="str">
        <v>ST015</v>
      </c>
      <c r="C110" s="5">
        <v>1482024</v>
      </c>
      <c r="D110" s="5">
        <f>C110*(1+Assumptions!$B$12)</f>
        <v>1526484.72</v>
      </c>
    </row>
    <row r="111" spans="1:4" x14ac:dyDescent="0.3">
      <c r="A111" t="str">
        <v>May-26</v>
      </c>
      <c r="B111" t="str">
        <v>ST016</v>
      </c>
      <c r="C111" s="5">
        <v>1501300</v>
      </c>
      <c r="D111" s="5">
        <f>C111*(1+Assumptions!$B$12)</f>
        <v>1546339</v>
      </c>
    </row>
    <row r="112" spans="1:4" x14ac:dyDescent="0.3">
      <c r="A112" t="str">
        <v>May-26</v>
      </c>
      <c r="B112" t="str">
        <v>ST017</v>
      </c>
      <c r="C112" s="5">
        <v>1576972</v>
      </c>
      <c r="D112" s="5">
        <f>C112*(1+Assumptions!$B$12)</f>
        <v>1624281.1600000001</v>
      </c>
    </row>
    <row r="113" spans="1:4" x14ac:dyDescent="0.3">
      <c r="A113" t="str">
        <v>May-26</v>
      </c>
      <c r="B113" t="str">
        <v>ST018</v>
      </c>
      <c r="C113" s="5">
        <v>1536135</v>
      </c>
      <c r="D113" s="5">
        <f>C113*(1+Assumptions!$B$12)</f>
        <v>1582219.05</v>
      </c>
    </row>
    <row r="114" spans="1:4" x14ac:dyDescent="0.3">
      <c r="A114" t="str">
        <v>May-26</v>
      </c>
      <c r="B114" t="str">
        <v>ST019</v>
      </c>
      <c r="C114" s="5">
        <v>1511011</v>
      </c>
      <c r="D114" s="5">
        <f>C114*(1+Assumptions!$B$12)</f>
        <v>1556341.33</v>
      </c>
    </row>
    <row r="115" spans="1:4" x14ac:dyDescent="0.3">
      <c r="A115" t="str">
        <v>May-26</v>
      </c>
      <c r="B115" t="str">
        <v>ST020</v>
      </c>
      <c r="C115" s="5">
        <v>1680157</v>
      </c>
      <c r="D115" s="5">
        <f>C115*(1+Assumptions!$B$12)</f>
        <v>1730561.71</v>
      </c>
    </row>
    <row r="116" spans="1:4" x14ac:dyDescent="0.3">
      <c r="A116" t="str">
        <v>May-26</v>
      </c>
      <c r="B116" t="str">
        <v>ST021</v>
      </c>
      <c r="C116" s="5">
        <v>1642821</v>
      </c>
      <c r="D116" s="5">
        <f>C116*(1+Assumptions!$B$12)</f>
        <v>1692105.6300000001</v>
      </c>
    </row>
    <row r="117" spans="1:4" x14ac:dyDescent="0.3">
      <c r="A117" t="str">
        <v>May-26</v>
      </c>
      <c r="B117" t="str">
        <v>ST022</v>
      </c>
      <c r="C117" s="5">
        <v>1789962</v>
      </c>
      <c r="D117" s="5">
        <f>C117*(1+Assumptions!$B$12)</f>
        <v>1843660.86</v>
      </c>
    </row>
    <row r="118" spans="1:4" x14ac:dyDescent="0.3">
      <c r="A118" t="str">
        <v>May-26</v>
      </c>
      <c r="B118" t="str">
        <v>ST023</v>
      </c>
      <c r="C118" s="5">
        <v>1986691</v>
      </c>
      <c r="D118" s="5">
        <f>C118*(1+Assumptions!$B$12)</f>
        <v>2046291.73</v>
      </c>
    </row>
    <row r="119" spans="1:4" x14ac:dyDescent="0.3">
      <c r="A119" t="str">
        <v>May-26</v>
      </c>
      <c r="B119" t="str">
        <v>ST025</v>
      </c>
      <c r="C119" s="5">
        <v>1924741</v>
      </c>
      <c r="D119" s="5">
        <f>C119*(1+Assumptions!$B$12)</f>
        <v>1982483.23</v>
      </c>
    </row>
    <row r="120" spans="1:4" x14ac:dyDescent="0.3">
      <c r="A120" t="str">
        <v>Jun-26</v>
      </c>
      <c r="B120" t="str">
        <v>ST001</v>
      </c>
      <c r="C120" s="5">
        <v>1587027</v>
      </c>
      <c r="D120" s="5">
        <f>C120*(1+Assumptions!$B$12)</f>
        <v>1634637.81</v>
      </c>
    </row>
    <row r="121" spans="1:4" x14ac:dyDescent="0.3">
      <c r="A121" t="str">
        <v>Jun-26</v>
      </c>
      <c r="B121" t="str">
        <v>ST002</v>
      </c>
      <c r="C121" s="5">
        <v>1554170</v>
      </c>
      <c r="D121" s="5">
        <f>C121*(1+Assumptions!$B$12)</f>
        <v>1600795.1</v>
      </c>
    </row>
    <row r="122" spans="1:4" x14ac:dyDescent="0.3">
      <c r="A122" t="str">
        <v>Jun-26</v>
      </c>
      <c r="B122" t="str">
        <v>ST003</v>
      </c>
      <c r="C122" s="5">
        <v>1525339</v>
      </c>
      <c r="D122" s="5">
        <f>C122*(1+Assumptions!$B$12)</f>
        <v>1571099.17</v>
      </c>
    </row>
    <row r="123" spans="1:4" x14ac:dyDescent="0.3">
      <c r="A123" t="str">
        <v>Jun-26</v>
      </c>
      <c r="B123" t="str">
        <v>ST004</v>
      </c>
      <c r="C123" s="5">
        <v>1563570</v>
      </c>
      <c r="D123" s="5">
        <f>C123*(1+Assumptions!$B$12)</f>
        <v>1610477.1</v>
      </c>
    </row>
    <row r="124" spans="1:4" x14ac:dyDescent="0.3">
      <c r="A124" t="str">
        <v>Jun-26</v>
      </c>
      <c r="B124" t="str">
        <v>ST005</v>
      </c>
      <c r="C124" s="5">
        <v>1593915</v>
      </c>
      <c r="D124" s="5">
        <f>C124*(1+Assumptions!$B$12)</f>
        <v>1641732.45</v>
      </c>
    </row>
    <row r="125" spans="1:4" x14ac:dyDescent="0.3">
      <c r="A125" t="str">
        <v>Jun-26</v>
      </c>
      <c r="B125" t="str">
        <v>ST006</v>
      </c>
      <c r="C125" s="5">
        <v>1623915</v>
      </c>
      <c r="D125" s="5">
        <f>C125*(1+Assumptions!$B$12)</f>
        <v>1672632.45</v>
      </c>
    </row>
    <row r="126" spans="1:4" x14ac:dyDescent="0.3">
      <c r="A126" t="str">
        <v>Jun-26</v>
      </c>
      <c r="B126" t="str">
        <v>ST007</v>
      </c>
      <c r="C126" s="5">
        <v>1561658</v>
      </c>
      <c r="D126" s="5">
        <f>C126*(1+Assumptions!$B$12)</f>
        <v>1608507.74</v>
      </c>
    </row>
    <row r="127" spans="1:4" x14ac:dyDescent="0.3">
      <c r="A127" t="str">
        <v>Jun-26</v>
      </c>
      <c r="B127" t="str">
        <v>ST008</v>
      </c>
      <c r="C127" s="5">
        <v>1539345</v>
      </c>
      <c r="D127" s="5">
        <f>C127*(1+Assumptions!$B$12)</f>
        <v>1585525.35</v>
      </c>
    </row>
    <row r="128" spans="1:4" x14ac:dyDescent="0.3">
      <c r="A128" t="str">
        <v>Jun-26</v>
      </c>
      <c r="B128" t="str">
        <v>ST009</v>
      </c>
      <c r="C128" s="5">
        <v>1519957</v>
      </c>
      <c r="D128" s="5">
        <f>C128*(1+Assumptions!$B$12)</f>
        <v>1565555.71</v>
      </c>
    </row>
    <row r="129" spans="1:4" x14ac:dyDescent="0.3">
      <c r="A129" t="str">
        <v>Jun-26</v>
      </c>
      <c r="B129" t="str">
        <v>ST010</v>
      </c>
      <c r="C129" s="5">
        <v>1601915</v>
      </c>
      <c r="D129" s="5">
        <f>C129*(1+Assumptions!$B$12)</f>
        <v>1649972.45</v>
      </c>
    </row>
    <row r="130" spans="1:4" x14ac:dyDescent="0.3">
      <c r="A130" t="str">
        <v>Jun-26</v>
      </c>
      <c r="B130" t="str">
        <v>ST011</v>
      </c>
      <c r="C130" s="5">
        <v>1494161</v>
      </c>
      <c r="D130" s="5">
        <f>C130*(1+Assumptions!$B$12)</f>
        <v>1538985.83</v>
      </c>
    </row>
    <row r="131" spans="1:4" x14ac:dyDescent="0.3">
      <c r="A131" t="str">
        <v>Jun-26</v>
      </c>
      <c r="B131" t="str">
        <v>ST012</v>
      </c>
      <c r="C131" s="5">
        <v>1403769</v>
      </c>
      <c r="D131" s="5">
        <f>C131*(1+Assumptions!$B$12)</f>
        <v>1445882.07</v>
      </c>
    </row>
    <row r="132" spans="1:4" x14ac:dyDescent="0.3">
      <c r="A132" t="str">
        <v>Jun-26</v>
      </c>
      <c r="B132" t="str">
        <v>ST013</v>
      </c>
      <c r="C132" s="5">
        <v>1512649</v>
      </c>
      <c r="D132" s="5">
        <f>C132*(1+Assumptions!$B$12)</f>
        <v>1558028.47</v>
      </c>
    </row>
    <row r="133" spans="1:4" x14ac:dyDescent="0.3">
      <c r="A133" t="str">
        <v>Jun-26</v>
      </c>
      <c r="B133" t="str">
        <v>ST014</v>
      </c>
      <c r="C133" s="5">
        <v>1729618</v>
      </c>
      <c r="D133" s="5">
        <f>C133*(1+Assumptions!$B$12)</f>
        <v>1781506.54</v>
      </c>
    </row>
    <row r="134" spans="1:4" x14ac:dyDescent="0.3">
      <c r="A134" t="str">
        <v>Jun-26</v>
      </c>
      <c r="B134" t="str">
        <v>ST015</v>
      </c>
      <c r="C134" s="5">
        <v>1353249</v>
      </c>
      <c r="D134" s="5">
        <f>C134*(1+Assumptions!$B$12)</f>
        <v>1393846.47</v>
      </c>
    </row>
    <row r="135" spans="1:4" x14ac:dyDescent="0.3">
      <c r="A135" t="str">
        <v>Jun-26</v>
      </c>
      <c r="B135" t="str">
        <v>ST016</v>
      </c>
      <c r="C135" s="5">
        <v>1481438</v>
      </c>
      <c r="D135" s="5">
        <f>C135*(1+Assumptions!$B$12)</f>
        <v>1525881.1400000001</v>
      </c>
    </row>
    <row r="136" spans="1:4" x14ac:dyDescent="0.3">
      <c r="A136" t="str">
        <v>Jun-26</v>
      </c>
      <c r="B136" t="str">
        <v>ST017</v>
      </c>
      <c r="C136" s="5">
        <v>1495745</v>
      </c>
      <c r="D136" s="5">
        <f>C136*(1+Assumptions!$B$12)</f>
        <v>1540617.35</v>
      </c>
    </row>
    <row r="137" spans="1:4" x14ac:dyDescent="0.3">
      <c r="A137" t="str">
        <v>Jun-26</v>
      </c>
      <c r="B137" t="str">
        <v>ST018</v>
      </c>
      <c r="C137" s="5">
        <v>1623528</v>
      </c>
      <c r="D137" s="5">
        <f>C137*(1+Assumptions!$B$12)</f>
        <v>1672233.84</v>
      </c>
    </row>
    <row r="138" spans="1:4" x14ac:dyDescent="0.3">
      <c r="A138" t="str">
        <v>Jun-26</v>
      </c>
      <c r="B138" t="str">
        <v>ST019</v>
      </c>
      <c r="C138" s="5">
        <v>1530122</v>
      </c>
      <c r="D138" s="5">
        <f>C138*(1+Assumptions!$B$12)</f>
        <v>1576025.6600000001</v>
      </c>
    </row>
    <row r="139" spans="1:4" x14ac:dyDescent="0.3">
      <c r="A139" t="str">
        <v>Jun-26</v>
      </c>
      <c r="B139" t="str">
        <v>ST020</v>
      </c>
      <c r="C139" s="5">
        <v>1682404</v>
      </c>
      <c r="D139" s="5">
        <f>C139*(1+Assumptions!$B$12)</f>
        <v>1732876.12</v>
      </c>
    </row>
    <row r="140" spans="1:4" x14ac:dyDescent="0.3">
      <c r="A140" t="str">
        <v>Jun-26</v>
      </c>
      <c r="B140" t="str">
        <v>ST021</v>
      </c>
      <c r="C140" s="5">
        <v>1607492</v>
      </c>
      <c r="D140" s="5">
        <f>C140*(1+Assumptions!$B$12)</f>
        <v>1655716.76</v>
      </c>
    </row>
    <row r="141" spans="1:4" x14ac:dyDescent="0.3">
      <c r="A141" t="str">
        <v>Jun-26</v>
      </c>
      <c r="B141" t="str">
        <v>ST022</v>
      </c>
      <c r="C141" s="5">
        <v>1459175</v>
      </c>
      <c r="D141" s="5">
        <f>C141*(1+Assumptions!$B$12)</f>
        <v>1502950.25</v>
      </c>
    </row>
    <row r="142" spans="1:4" x14ac:dyDescent="0.3">
      <c r="A142" t="str">
        <v>Jun-26</v>
      </c>
      <c r="B142" t="str">
        <v>ST023</v>
      </c>
      <c r="C142" s="5">
        <v>1858269</v>
      </c>
      <c r="D142" s="5">
        <f>C142*(1+Assumptions!$B$12)</f>
        <v>1914017.07</v>
      </c>
    </row>
    <row r="143" spans="1:4" x14ac:dyDescent="0.3">
      <c r="A143" t="str">
        <v>Jun-26</v>
      </c>
      <c r="B143" t="str">
        <v>ST025</v>
      </c>
      <c r="C143" s="5">
        <v>1799817</v>
      </c>
      <c r="D143" s="5">
        <f>C143*(1+Assumptions!$B$12)</f>
        <v>1853811.51</v>
      </c>
    </row>
    <row r="144" spans="1:4" x14ac:dyDescent="0.3">
      <c r="A144" t="str">
        <v>Jul-26</v>
      </c>
      <c r="B144" t="str">
        <v>ST001</v>
      </c>
      <c r="C144" s="5">
        <v>1685952</v>
      </c>
      <c r="D144" s="5">
        <f>C144*(1+Assumptions!$B$12)</f>
        <v>1736530.56</v>
      </c>
    </row>
    <row r="145" spans="1:4" x14ac:dyDescent="0.3">
      <c r="A145" t="str">
        <v>Jul-26</v>
      </c>
      <c r="B145" t="str">
        <v>ST002</v>
      </c>
      <c r="C145" s="5">
        <v>1565713</v>
      </c>
      <c r="D145" s="5">
        <f>C145*(1+Assumptions!$B$12)</f>
        <v>1612684.3900000001</v>
      </c>
    </row>
    <row r="146" spans="1:4" x14ac:dyDescent="0.3">
      <c r="A146" t="str">
        <v>Jul-26</v>
      </c>
      <c r="B146" t="str">
        <v>ST003</v>
      </c>
      <c r="C146" s="5">
        <v>1527725</v>
      </c>
      <c r="D146" s="5">
        <f>C146*(1+Assumptions!$B$12)</f>
        <v>1573556.75</v>
      </c>
    </row>
    <row r="147" spans="1:4" x14ac:dyDescent="0.3">
      <c r="A147" t="str">
        <v>Jul-26</v>
      </c>
      <c r="B147" t="str">
        <v>ST004</v>
      </c>
      <c r="C147" s="5">
        <v>1820591</v>
      </c>
      <c r="D147" s="5">
        <f>C147*(1+Assumptions!$B$12)</f>
        <v>1875208.73</v>
      </c>
    </row>
    <row r="148" spans="1:4" x14ac:dyDescent="0.3">
      <c r="A148" t="str">
        <v>Jul-26</v>
      </c>
      <c r="B148" t="str">
        <v>ST005</v>
      </c>
      <c r="C148" s="5">
        <v>1714903</v>
      </c>
      <c r="D148" s="5">
        <f>C148*(1+Assumptions!$B$12)</f>
        <v>1766350.09</v>
      </c>
    </row>
    <row r="149" spans="1:4" x14ac:dyDescent="0.3">
      <c r="A149" t="str">
        <v>Jul-26</v>
      </c>
      <c r="B149" t="str">
        <v>ST006</v>
      </c>
      <c r="C149" s="5">
        <v>1654049</v>
      </c>
      <c r="D149" s="5">
        <f>C149*(1+Assumptions!$B$12)</f>
        <v>1703670.47</v>
      </c>
    </row>
    <row r="150" spans="1:4" x14ac:dyDescent="0.3">
      <c r="A150" t="str">
        <v>Jul-26</v>
      </c>
      <c r="B150" t="str">
        <v>ST007</v>
      </c>
      <c r="C150" s="5">
        <v>1674017</v>
      </c>
      <c r="D150" s="5">
        <f>C150*(1+Assumptions!$B$12)</f>
        <v>1724237.51</v>
      </c>
    </row>
    <row r="151" spans="1:4" x14ac:dyDescent="0.3">
      <c r="A151" t="str">
        <v>Jul-26</v>
      </c>
      <c r="B151" t="str">
        <v>ST008</v>
      </c>
      <c r="C151" s="5">
        <v>1668523</v>
      </c>
      <c r="D151" s="5">
        <f>C151*(1+Assumptions!$B$12)</f>
        <v>1718578.69</v>
      </c>
    </row>
    <row r="152" spans="1:4" x14ac:dyDescent="0.3">
      <c r="A152" t="str">
        <v>Jul-26</v>
      </c>
      <c r="B152" t="str">
        <v>ST009</v>
      </c>
      <c r="C152" s="5">
        <v>1550025</v>
      </c>
      <c r="D152" s="5">
        <f>C152*(1+Assumptions!$B$12)</f>
        <v>1596525.75</v>
      </c>
    </row>
    <row r="153" spans="1:4" x14ac:dyDescent="0.3">
      <c r="A153" t="str">
        <v>Jul-26</v>
      </c>
      <c r="B153" t="str">
        <v>ST010</v>
      </c>
      <c r="C153" s="5">
        <v>1516648</v>
      </c>
      <c r="D153" s="5">
        <f>C153*(1+Assumptions!$B$12)</f>
        <v>1562147.44</v>
      </c>
    </row>
    <row r="154" spans="1:4" x14ac:dyDescent="0.3">
      <c r="A154" t="str">
        <v>Jul-26</v>
      </c>
      <c r="B154" t="str">
        <v>ST011</v>
      </c>
      <c r="C154" s="5">
        <v>1481107</v>
      </c>
      <c r="D154" s="5">
        <f>C154*(1+Assumptions!$B$12)</f>
        <v>1525540.21</v>
      </c>
    </row>
    <row r="155" spans="1:4" x14ac:dyDescent="0.3">
      <c r="A155" t="str">
        <v>Jul-26</v>
      </c>
      <c r="B155" t="str">
        <v>ST012</v>
      </c>
      <c r="C155" s="5">
        <v>1763658</v>
      </c>
      <c r="D155" s="5">
        <f>C155*(1+Assumptions!$B$12)</f>
        <v>1816567.74</v>
      </c>
    </row>
    <row r="156" spans="1:4" x14ac:dyDescent="0.3">
      <c r="A156" t="str">
        <v>Jul-26</v>
      </c>
      <c r="B156" t="str">
        <v>ST013</v>
      </c>
      <c r="C156" s="5">
        <v>1697818</v>
      </c>
      <c r="D156" s="5">
        <f>C156*(1+Assumptions!$B$12)</f>
        <v>1748752.54</v>
      </c>
    </row>
    <row r="157" spans="1:4" x14ac:dyDescent="0.3">
      <c r="A157" t="str">
        <v>Jul-26</v>
      </c>
      <c r="B157" t="str">
        <v>ST014</v>
      </c>
      <c r="C157" s="5">
        <v>1574533</v>
      </c>
      <c r="D157" s="5">
        <f>C157*(1+Assumptions!$B$12)</f>
        <v>1621768.99</v>
      </c>
    </row>
    <row r="158" spans="1:4" x14ac:dyDescent="0.3">
      <c r="A158" t="str">
        <v>Jul-26</v>
      </c>
      <c r="B158" t="str">
        <v>ST015</v>
      </c>
      <c r="C158" s="5">
        <v>1573892</v>
      </c>
      <c r="D158" s="5">
        <f>C158*(1+Assumptions!$B$12)</f>
        <v>1621108.76</v>
      </c>
    </row>
    <row r="159" spans="1:4" x14ac:dyDescent="0.3">
      <c r="A159" t="str">
        <v>Jul-26</v>
      </c>
      <c r="B159" t="str">
        <v>ST016</v>
      </c>
      <c r="C159" s="5">
        <v>1580736</v>
      </c>
      <c r="D159" s="5">
        <f>C159*(1+Assumptions!$B$12)</f>
        <v>1628158.08</v>
      </c>
    </row>
    <row r="160" spans="1:4" x14ac:dyDescent="0.3">
      <c r="A160" t="str">
        <v>Jul-26</v>
      </c>
      <c r="B160" t="str">
        <v>ST017</v>
      </c>
      <c r="C160" s="5">
        <v>1445951</v>
      </c>
      <c r="D160" s="5">
        <f>C160*(1+Assumptions!$B$12)</f>
        <v>1489329.53</v>
      </c>
    </row>
    <row r="161" spans="1:4" x14ac:dyDescent="0.3">
      <c r="A161" t="str">
        <v>Jul-26</v>
      </c>
      <c r="B161" t="str">
        <v>ST018</v>
      </c>
      <c r="C161" s="5">
        <v>1785526</v>
      </c>
      <c r="D161" s="5">
        <f>C161*(1+Assumptions!$B$12)</f>
        <v>1839091.78</v>
      </c>
    </row>
    <row r="162" spans="1:4" x14ac:dyDescent="0.3">
      <c r="A162" t="str">
        <v>Jul-26</v>
      </c>
      <c r="B162" t="str">
        <v>ST019</v>
      </c>
      <c r="C162" s="5">
        <v>1691006</v>
      </c>
      <c r="D162" s="5">
        <f>C162*(1+Assumptions!$B$12)</f>
        <v>1741736.18</v>
      </c>
    </row>
    <row r="163" spans="1:4" x14ac:dyDescent="0.3">
      <c r="A163" t="str">
        <v>Jul-26</v>
      </c>
      <c r="B163" t="str">
        <v>ST020</v>
      </c>
      <c r="C163" s="5">
        <v>1652222</v>
      </c>
      <c r="D163" s="5">
        <f>C163*(1+Assumptions!$B$12)</f>
        <v>1701788.6600000001</v>
      </c>
    </row>
    <row r="164" spans="1:4" x14ac:dyDescent="0.3">
      <c r="A164" t="str">
        <v>Jul-26</v>
      </c>
      <c r="B164" t="str">
        <v>ST021</v>
      </c>
      <c r="C164" s="5">
        <v>1767768</v>
      </c>
      <c r="D164" s="5">
        <f>C164*(1+Assumptions!$B$12)</f>
        <v>1820801.04</v>
      </c>
    </row>
    <row r="165" spans="1:4" x14ac:dyDescent="0.3">
      <c r="A165" t="str">
        <v>Jul-26</v>
      </c>
      <c r="B165" t="str">
        <v>ST022</v>
      </c>
      <c r="C165" s="5">
        <v>1709807</v>
      </c>
      <c r="D165" s="5">
        <f>C165*(1+Assumptions!$B$12)</f>
        <v>1761101.21</v>
      </c>
    </row>
    <row r="166" spans="1:4" x14ac:dyDescent="0.3">
      <c r="A166" t="str">
        <v>Jul-26</v>
      </c>
      <c r="B166" t="str">
        <v>ST023</v>
      </c>
      <c r="C166" s="5">
        <v>1982714</v>
      </c>
      <c r="D166" s="5">
        <f>C166*(1+Assumptions!$B$12)</f>
        <v>2042195.4200000002</v>
      </c>
    </row>
    <row r="167" spans="1:4" x14ac:dyDescent="0.3">
      <c r="A167" t="str">
        <v>Jul-26</v>
      </c>
      <c r="B167" t="str">
        <v>ST024</v>
      </c>
      <c r="C167" s="5">
        <v>2588744</v>
      </c>
      <c r="D167" s="5">
        <f>C167*(1+Assumptions!$B$12)</f>
        <v>2666406.3200000003</v>
      </c>
    </row>
    <row r="168" spans="1:4" x14ac:dyDescent="0.3">
      <c r="A168" t="str">
        <v>Jul-26</v>
      </c>
      <c r="B168" t="str">
        <v>ST025</v>
      </c>
      <c r="C168" s="5">
        <v>1947320</v>
      </c>
      <c r="D168" s="5">
        <f>C168*(1+Assumptions!$B$12)</f>
        <v>2005739.6</v>
      </c>
    </row>
    <row r="169" spans="1:4" x14ac:dyDescent="0.3">
      <c r="A169" t="str">
        <v>Aug-26</v>
      </c>
      <c r="B169" t="str">
        <v>ST001</v>
      </c>
      <c r="C169" s="5">
        <v>1698109</v>
      </c>
      <c r="D169" s="5">
        <f>C169*(1+Assumptions!$B$12)</f>
        <v>1749052.27</v>
      </c>
    </row>
    <row r="170" spans="1:4" x14ac:dyDescent="0.3">
      <c r="A170" t="str">
        <v>Aug-26</v>
      </c>
      <c r="B170" t="str">
        <v>ST002</v>
      </c>
      <c r="C170" s="5">
        <v>1692817</v>
      </c>
      <c r="D170" s="5">
        <f>C170*(1+Assumptions!$B$12)</f>
        <v>1743601.51</v>
      </c>
    </row>
    <row r="171" spans="1:4" x14ac:dyDescent="0.3">
      <c r="A171" t="str">
        <v>Aug-26</v>
      </c>
      <c r="B171" t="str">
        <v>ST003</v>
      </c>
      <c r="C171" s="5">
        <v>1676981</v>
      </c>
      <c r="D171" s="5">
        <f>C171*(1+Assumptions!$B$12)</f>
        <v>1727290.43</v>
      </c>
    </row>
    <row r="172" spans="1:4" x14ac:dyDescent="0.3">
      <c r="A172" t="str">
        <v>Aug-26</v>
      </c>
      <c r="B172" t="str">
        <v>ST004</v>
      </c>
      <c r="C172" s="5">
        <v>1701796</v>
      </c>
      <c r="D172" s="5">
        <f>C172*(1+Assumptions!$B$12)</f>
        <v>1752849.8800000001</v>
      </c>
    </row>
    <row r="173" spans="1:4" x14ac:dyDescent="0.3">
      <c r="A173" t="str">
        <v>Aug-26</v>
      </c>
      <c r="B173" t="str">
        <v>ST005</v>
      </c>
      <c r="C173" s="5">
        <v>1654406</v>
      </c>
      <c r="D173" s="5">
        <f>C173*(1+Assumptions!$B$12)</f>
        <v>1704038.18</v>
      </c>
    </row>
    <row r="174" spans="1:4" x14ac:dyDescent="0.3">
      <c r="A174" t="str">
        <v>Aug-26</v>
      </c>
      <c r="B174" t="str">
        <v>ST006</v>
      </c>
      <c r="C174" s="5">
        <v>1816923</v>
      </c>
      <c r="D174" s="5">
        <f>C174*(1+Assumptions!$B$12)</f>
        <v>1871430.69</v>
      </c>
    </row>
    <row r="175" spans="1:4" x14ac:dyDescent="0.3">
      <c r="A175" t="str">
        <v>Aug-26</v>
      </c>
      <c r="B175" t="str">
        <v>ST007</v>
      </c>
      <c r="C175" s="5">
        <v>1529168</v>
      </c>
      <c r="D175" s="5">
        <f>C175*(1+Assumptions!$B$12)</f>
        <v>1575043.04</v>
      </c>
    </row>
    <row r="176" spans="1:4" x14ac:dyDescent="0.3">
      <c r="A176" t="str">
        <v>Aug-26</v>
      </c>
      <c r="B176" t="str">
        <v>ST008</v>
      </c>
      <c r="C176" s="5">
        <v>1681712</v>
      </c>
      <c r="D176" s="5">
        <f>C176*(1+Assumptions!$B$12)</f>
        <v>1732163.36</v>
      </c>
    </row>
    <row r="177" spans="1:4" x14ac:dyDescent="0.3">
      <c r="A177" t="str">
        <v>Aug-26</v>
      </c>
      <c r="B177" t="str">
        <v>ST009</v>
      </c>
      <c r="C177" s="5">
        <v>1698318</v>
      </c>
      <c r="D177" s="5">
        <f>C177*(1+Assumptions!$B$12)</f>
        <v>1749267.54</v>
      </c>
    </row>
    <row r="178" spans="1:4" x14ac:dyDescent="0.3">
      <c r="A178" t="str">
        <v>Aug-26</v>
      </c>
      <c r="B178" t="str">
        <v>ST010</v>
      </c>
      <c r="C178" s="5">
        <v>1472558</v>
      </c>
      <c r="D178" s="5">
        <f>C178*(1+Assumptions!$B$12)</f>
        <v>1516734.74</v>
      </c>
    </row>
    <row r="179" spans="1:4" x14ac:dyDescent="0.3">
      <c r="A179" t="str">
        <v>Aug-26</v>
      </c>
      <c r="B179" t="str">
        <v>ST011</v>
      </c>
      <c r="C179" s="5">
        <v>1602779</v>
      </c>
      <c r="D179" s="5">
        <f>C179*(1+Assumptions!$B$12)</f>
        <v>1650862.37</v>
      </c>
    </row>
    <row r="180" spans="1:4" x14ac:dyDescent="0.3">
      <c r="A180" t="str">
        <v>Aug-26</v>
      </c>
      <c r="B180" t="str">
        <v>ST012</v>
      </c>
      <c r="C180" s="5">
        <v>1704438</v>
      </c>
      <c r="D180" s="5">
        <f>C180*(1+Assumptions!$B$12)</f>
        <v>1755571.1400000001</v>
      </c>
    </row>
    <row r="181" spans="1:4" x14ac:dyDescent="0.3">
      <c r="A181" t="str">
        <v>Aug-26</v>
      </c>
      <c r="B181" t="str">
        <v>ST013</v>
      </c>
      <c r="C181" s="5">
        <v>1656965</v>
      </c>
      <c r="D181" s="5">
        <f>C181*(1+Assumptions!$B$12)</f>
        <v>1706673.95</v>
      </c>
    </row>
    <row r="182" spans="1:4" x14ac:dyDescent="0.3">
      <c r="A182" t="str">
        <v>Aug-26</v>
      </c>
      <c r="B182" t="str">
        <v>ST014</v>
      </c>
      <c r="C182" s="5">
        <v>1727266</v>
      </c>
      <c r="D182" s="5">
        <f>C182*(1+Assumptions!$B$12)</f>
        <v>1779083.98</v>
      </c>
    </row>
    <row r="183" spans="1:4" x14ac:dyDescent="0.3">
      <c r="A183" t="str">
        <v>Aug-26</v>
      </c>
      <c r="B183" t="str">
        <v>ST015</v>
      </c>
      <c r="C183" s="5">
        <v>1578075</v>
      </c>
      <c r="D183" s="5">
        <f>C183*(1+Assumptions!$B$12)</f>
        <v>1625417.25</v>
      </c>
    </row>
    <row r="184" spans="1:4" x14ac:dyDescent="0.3">
      <c r="A184" t="str">
        <v>Aug-26</v>
      </c>
      <c r="B184" t="str">
        <v>ST016</v>
      </c>
      <c r="C184" s="5">
        <v>1632289</v>
      </c>
      <c r="D184" s="5">
        <f>C184*(1+Assumptions!$B$12)</f>
        <v>1681257.6700000002</v>
      </c>
    </row>
    <row r="185" spans="1:4" x14ac:dyDescent="0.3">
      <c r="A185" t="str">
        <v>Aug-26</v>
      </c>
      <c r="B185" t="str">
        <v>ST017</v>
      </c>
      <c r="C185" s="5">
        <v>1821959</v>
      </c>
      <c r="D185" s="5">
        <f>C185*(1+Assumptions!$B$12)</f>
        <v>1876617.77</v>
      </c>
    </row>
    <row r="186" spans="1:4" x14ac:dyDescent="0.3">
      <c r="A186" t="str">
        <v>Aug-26</v>
      </c>
      <c r="B186" t="str">
        <v>ST018</v>
      </c>
      <c r="C186" s="5">
        <v>1779069</v>
      </c>
      <c r="D186" s="5">
        <f>C186*(1+Assumptions!$B$12)</f>
        <v>1832441.07</v>
      </c>
    </row>
    <row r="187" spans="1:4" x14ac:dyDescent="0.3">
      <c r="A187" t="str">
        <v>Aug-26</v>
      </c>
      <c r="B187" t="str">
        <v>ST019</v>
      </c>
      <c r="C187" s="5">
        <v>1600363</v>
      </c>
      <c r="D187" s="5">
        <f>C187*(1+Assumptions!$B$12)</f>
        <v>1648373.8900000001</v>
      </c>
    </row>
    <row r="188" spans="1:4" x14ac:dyDescent="0.3">
      <c r="A188" t="str">
        <v>Aug-26</v>
      </c>
      <c r="B188" t="str">
        <v>ST020</v>
      </c>
      <c r="C188" s="5">
        <v>1668345</v>
      </c>
      <c r="D188" s="5">
        <f>C188*(1+Assumptions!$B$12)</f>
        <v>1718395.35</v>
      </c>
    </row>
    <row r="189" spans="1:4" x14ac:dyDescent="0.3">
      <c r="A189" t="str">
        <v>Aug-26</v>
      </c>
      <c r="B189" t="str">
        <v>ST021</v>
      </c>
      <c r="C189" s="5">
        <v>1462781</v>
      </c>
      <c r="D189" s="5">
        <f>C189*(1+Assumptions!$B$12)</f>
        <v>1506664.43</v>
      </c>
    </row>
    <row r="190" spans="1:4" x14ac:dyDescent="0.3">
      <c r="A190" t="str">
        <v>Aug-26</v>
      </c>
      <c r="B190" t="str">
        <v>ST022</v>
      </c>
      <c r="C190" s="5">
        <v>1738755</v>
      </c>
      <c r="D190" s="5">
        <f>C190*(1+Assumptions!$B$12)</f>
        <v>1790917.6500000001</v>
      </c>
    </row>
    <row r="191" spans="1:4" x14ac:dyDescent="0.3">
      <c r="A191" t="str">
        <v>Aug-26</v>
      </c>
      <c r="B191" t="str">
        <v>ST023</v>
      </c>
      <c r="C191" s="5">
        <v>1894135</v>
      </c>
      <c r="D191" s="5">
        <f>C191*(1+Assumptions!$B$12)</f>
        <v>1950959.05</v>
      </c>
    </row>
    <row r="192" spans="1:4" x14ac:dyDescent="0.3">
      <c r="A192" t="str">
        <v>Aug-26</v>
      </c>
      <c r="B192" t="str">
        <v>ST024</v>
      </c>
      <c r="C192" s="5">
        <v>3517627</v>
      </c>
      <c r="D192" s="5">
        <f>C192*(1+Assumptions!$B$12)</f>
        <v>3623155.81</v>
      </c>
    </row>
    <row r="193" spans="1:4" x14ac:dyDescent="0.3">
      <c r="A193" t="str">
        <v>Aug-26</v>
      </c>
      <c r="B193" t="str">
        <v>ST025</v>
      </c>
      <c r="C193" s="5">
        <v>2152258</v>
      </c>
      <c r="D193" s="5">
        <f>C193*(1+Assumptions!$B$12)</f>
        <v>2216825.7400000002</v>
      </c>
    </row>
    <row r="194" spans="1:4" x14ac:dyDescent="0.3">
      <c r="A194" t="str">
        <v>Sep-26</v>
      </c>
      <c r="B194" t="str">
        <v>ST001</v>
      </c>
      <c r="C194" s="5">
        <v>1358510</v>
      </c>
      <c r="D194" s="5">
        <f>C194*(1+Assumptions!$B$12)</f>
        <v>1399265.3</v>
      </c>
    </row>
    <row r="195" spans="1:4" x14ac:dyDescent="0.3">
      <c r="A195" t="str">
        <v>Sep-26</v>
      </c>
      <c r="B195" t="str">
        <v>ST002</v>
      </c>
      <c r="C195" s="5">
        <v>1680968</v>
      </c>
      <c r="D195" s="5">
        <f>C195*(1+Assumptions!$B$12)</f>
        <v>1731397.04</v>
      </c>
    </row>
    <row r="196" spans="1:4" x14ac:dyDescent="0.3">
      <c r="A196" t="str">
        <v>Sep-26</v>
      </c>
      <c r="B196" t="str">
        <v>ST003</v>
      </c>
      <c r="C196" s="5">
        <v>1525152</v>
      </c>
      <c r="D196" s="5">
        <f>C196*(1+Assumptions!$B$12)</f>
        <v>1570906.56</v>
      </c>
    </row>
    <row r="197" spans="1:4" x14ac:dyDescent="0.3">
      <c r="A197" t="str">
        <v>Sep-26</v>
      </c>
      <c r="B197" t="str">
        <v>ST004</v>
      </c>
      <c r="C197" s="5">
        <v>1733930</v>
      </c>
      <c r="D197" s="5">
        <f>C197*(1+Assumptions!$B$12)</f>
        <v>1785947.9000000001</v>
      </c>
    </row>
    <row r="198" spans="1:4" x14ac:dyDescent="0.3">
      <c r="A198" t="str">
        <v>Sep-26</v>
      </c>
      <c r="B198" t="str">
        <v>ST005</v>
      </c>
      <c r="C198" s="5">
        <v>1624274</v>
      </c>
      <c r="D198" s="5">
        <f>C198*(1+Assumptions!$B$12)</f>
        <v>1673002.22</v>
      </c>
    </row>
    <row r="199" spans="1:4" x14ac:dyDescent="0.3">
      <c r="A199" t="str">
        <v>Sep-26</v>
      </c>
      <c r="B199" t="str">
        <v>ST006</v>
      </c>
      <c r="C199" s="5">
        <v>1578599</v>
      </c>
      <c r="D199" s="5">
        <f>C199*(1+Assumptions!$B$12)</f>
        <v>1625956.97</v>
      </c>
    </row>
    <row r="200" spans="1:4" x14ac:dyDescent="0.3">
      <c r="A200" t="str">
        <v>Sep-26</v>
      </c>
      <c r="B200" t="str">
        <v>ST007</v>
      </c>
      <c r="C200" s="5">
        <v>1586082</v>
      </c>
      <c r="D200" s="5">
        <f>C200*(1+Assumptions!$B$12)</f>
        <v>1633664.46</v>
      </c>
    </row>
    <row r="201" spans="1:4" x14ac:dyDescent="0.3">
      <c r="A201" t="str">
        <v>Sep-26</v>
      </c>
      <c r="B201" t="str">
        <v>ST008</v>
      </c>
      <c r="C201" s="5">
        <v>1475540</v>
      </c>
      <c r="D201" s="5">
        <f>C201*(1+Assumptions!$B$12)</f>
        <v>1519806.2</v>
      </c>
    </row>
    <row r="202" spans="1:4" x14ac:dyDescent="0.3">
      <c r="A202" t="str">
        <v>Sep-26</v>
      </c>
      <c r="B202" t="str">
        <v>ST009</v>
      </c>
      <c r="C202" s="5">
        <v>1501115</v>
      </c>
      <c r="D202" s="5">
        <f>C202*(1+Assumptions!$B$12)</f>
        <v>1546148.45</v>
      </c>
    </row>
    <row r="203" spans="1:4" x14ac:dyDescent="0.3">
      <c r="A203" t="str">
        <v>Sep-26</v>
      </c>
      <c r="B203" t="str">
        <v>ST010</v>
      </c>
      <c r="C203" s="5">
        <v>1358496</v>
      </c>
      <c r="D203" s="5">
        <f>C203*(1+Assumptions!$B$12)</f>
        <v>1399250.8800000001</v>
      </c>
    </row>
    <row r="204" spans="1:4" x14ac:dyDescent="0.3">
      <c r="A204" t="str">
        <v>Sep-26</v>
      </c>
      <c r="B204" t="str">
        <v>ST011</v>
      </c>
      <c r="C204" s="5">
        <v>1571663</v>
      </c>
      <c r="D204" s="5">
        <f>C204*(1+Assumptions!$B$12)</f>
        <v>1618812.8900000001</v>
      </c>
    </row>
    <row r="205" spans="1:4" x14ac:dyDescent="0.3">
      <c r="A205" t="str">
        <v>Sep-26</v>
      </c>
      <c r="B205" t="str">
        <v>ST012</v>
      </c>
      <c r="C205" s="5">
        <v>1462313</v>
      </c>
      <c r="D205" s="5">
        <f>C205*(1+Assumptions!$B$12)</f>
        <v>1506182.3900000001</v>
      </c>
    </row>
    <row r="206" spans="1:4" x14ac:dyDescent="0.3">
      <c r="A206" t="str">
        <v>Sep-26</v>
      </c>
      <c r="B206" t="str">
        <v>ST013</v>
      </c>
      <c r="C206" s="5">
        <v>1490334</v>
      </c>
      <c r="D206" s="5">
        <f>C206*(1+Assumptions!$B$12)</f>
        <v>1535044.02</v>
      </c>
    </row>
    <row r="207" spans="1:4" x14ac:dyDescent="0.3">
      <c r="A207" t="str">
        <v>Sep-26</v>
      </c>
      <c r="B207" t="str">
        <v>ST014</v>
      </c>
      <c r="C207" s="5">
        <v>1640360</v>
      </c>
      <c r="D207" s="5">
        <f>C207*(1+Assumptions!$B$12)</f>
        <v>1689570.8</v>
      </c>
    </row>
    <row r="208" spans="1:4" x14ac:dyDescent="0.3">
      <c r="A208" t="str">
        <v>Sep-26</v>
      </c>
      <c r="B208" t="str">
        <v>ST015</v>
      </c>
      <c r="C208" s="5">
        <v>1514031</v>
      </c>
      <c r="D208" s="5">
        <f>C208*(1+Assumptions!$B$12)</f>
        <v>1559451.93</v>
      </c>
    </row>
    <row r="209" spans="1:4" x14ac:dyDescent="0.3">
      <c r="A209" t="str">
        <v>Sep-26</v>
      </c>
      <c r="B209" t="str">
        <v>ST016</v>
      </c>
      <c r="C209" s="5">
        <v>1466336</v>
      </c>
      <c r="D209" s="5">
        <f>C209*(1+Assumptions!$B$12)</f>
        <v>1510326.08</v>
      </c>
    </row>
    <row r="210" spans="1:4" x14ac:dyDescent="0.3">
      <c r="A210" t="str">
        <v>Sep-26</v>
      </c>
      <c r="B210" t="str">
        <v>ST017</v>
      </c>
      <c r="C210" s="5">
        <v>1506899</v>
      </c>
      <c r="D210" s="5">
        <f>C210*(1+Assumptions!$B$12)</f>
        <v>1552105.97</v>
      </c>
    </row>
    <row r="211" spans="1:4" x14ac:dyDescent="0.3">
      <c r="A211" t="str">
        <v>Sep-26</v>
      </c>
      <c r="B211" t="str">
        <v>ST018</v>
      </c>
      <c r="C211" s="5">
        <v>1603321</v>
      </c>
      <c r="D211" s="5">
        <f>C211*(1+Assumptions!$B$12)</f>
        <v>1651420.6300000001</v>
      </c>
    </row>
    <row r="212" spans="1:4" x14ac:dyDescent="0.3">
      <c r="A212" t="str">
        <v>Sep-26</v>
      </c>
      <c r="B212" t="str">
        <v>ST019</v>
      </c>
      <c r="C212" s="5">
        <v>1574813</v>
      </c>
      <c r="D212" s="5">
        <f>C212*(1+Assumptions!$B$12)</f>
        <v>1622057.3900000001</v>
      </c>
    </row>
    <row r="213" spans="1:4" x14ac:dyDescent="0.3">
      <c r="A213" t="str">
        <v>Sep-26</v>
      </c>
      <c r="B213" t="str">
        <v>ST020</v>
      </c>
      <c r="C213" s="5">
        <v>1741442</v>
      </c>
      <c r="D213" s="5">
        <f>C213*(1+Assumptions!$B$12)</f>
        <v>1793685.26</v>
      </c>
    </row>
    <row r="214" spans="1:4" x14ac:dyDescent="0.3">
      <c r="A214" t="str">
        <v>Sep-26</v>
      </c>
      <c r="B214" t="str">
        <v>ST021</v>
      </c>
      <c r="C214" s="5">
        <v>1505001</v>
      </c>
      <c r="D214" s="5">
        <f>C214*(1+Assumptions!$B$12)</f>
        <v>1550151.03</v>
      </c>
    </row>
    <row r="215" spans="1:4" x14ac:dyDescent="0.3">
      <c r="A215" t="str">
        <v>Sep-26</v>
      </c>
      <c r="B215" t="str">
        <v>ST022</v>
      </c>
      <c r="C215" s="5">
        <v>1547358</v>
      </c>
      <c r="D215" s="5">
        <f>C215*(1+Assumptions!$B$12)</f>
        <v>1593778.74</v>
      </c>
    </row>
    <row r="216" spans="1:4" x14ac:dyDescent="0.3">
      <c r="A216" t="str">
        <v>Sep-26</v>
      </c>
      <c r="B216" t="str">
        <v>ST023</v>
      </c>
      <c r="C216" s="5">
        <v>1643118</v>
      </c>
      <c r="D216" s="5">
        <f>C216*(1+Assumptions!$B$12)</f>
        <v>1692411.54</v>
      </c>
    </row>
    <row r="217" spans="1:4" x14ac:dyDescent="0.3">
      <c r="A217" t="str">
        <v>Sep-26</v>
      </c>
      <c r="B217" t="str">
        <v>ST024</v>
      </c>
      <c r="C217" s="5">
        <v>3142716</v>
      </c>
      <c r="D217" s="5">
        <f>C217*(1+Assumptions!$B$12)</f>
        <v>3236997.48</v>
      </c>
    </row>
    <row r="218" spans="1:4" x14ac:dyDescent="0.3">
      <c r="A218" t="str">
        <v>Sep-26</v>
      </c>
      <c r="B218" t="str">
        <v>ST025</v>
      </c>
      <c r="C218" s="5">
        <v>1826333</v>
      </c>
      <c r="D218" s="5">
        <f>C218*(1+Assumptions!$B$12)</f>
        <v>1881122.99</v>
      </c>
    </row>
    <row r="219" spans="1:4" x14ac:dyDescent="0.3">
      <c r="A219" t="str">
        <v>Oct-26</v>
      </c>
      <c r="B219" t="str">
        <v>ST001</v>
      </c>
      <c r="C219" s="5">
        <v>1610739</v>
      </c>
      <c r="D219" s="5">
        <f>C219*(1+Assumptions!$B$12)</f>
        <v>1659061.1700000002</v>
      </c>
    </row>
    <row r="220" spans="1:4" x14ac:dyDescent="0.3">
      <c r="A220" t="str">
        <v>Oct-26</v>
      </c>
      <c r="B220" t="str">
        <v>ST002</v>
      </c>
      <c r="C220" s="5">
        <v>1629779</v>
      </c>
      <c r="D220" s="5">
        <f>C220*(1+Assumptions!$B$12)</f>
        <v>1678672.37</v>
      </c>
    </row>
    <row r="221" spans="1:4" x14ac:dyDescent="0.3">
      <c r="A221" t="str">
        <v>Oct-26</v>
      </c>
      <c r="B221" t="str">
        <v>ST003</v>
      </c>
      <c r="C221" s="5">
        <v>1593926</v>
      </c>
      <c r="D221" s="5">
        <f>C221*(1+Assumptions!$B$12)</f>
        <v>1641743.78</v>
      </c>
    </row>
    <row r="222" spans="1:4" x14ac:dyDescent="0.3">
      <c r="A222" t="str">
        <v>Oct-26</v>
      </c>
      <c r="B222" t="str">
        <v>ST004</v>
      </c>
      <c r="C222" s="5">
        <v>1524631</v>
      </c>
      <c r="D222" s="5">
        <f>C222*(1+Assumptions!$B$12)</f>
        <v>1570369.93</v>
      </c>
    </row>
    <row r="223" spans="1:4" x14ac:dyDescent="0.3">
      <c r="A223" t="str">
        <v>Oct-26</v>
      </c>
      <c r="B223" t="str">
        <v>ST005</v>
      </c>
      <c r="C223" s="5">
        <v>1785680</v>
      </c>
      <c r="D223" s="5">
        <f>C223*(1+Assumptions!$B$12)</f>
        <v>1839250.4000000001</v>
      </c>
    </row>
    <row r="224" spans="1:4" x14ac:dyDescent="0.3">
      <c r="A224" t="str">
        <v>Oct-26</v>
      </c>
      <c r="B224" t="str">
        <v>ST006</v>
      </c>
      <c r="C224" s="5">
        <v>1562195</v>
      </c>
      <c r="D224" s="5">
        <f>C224*(1+Assumptions!$B$12)</f>
        <v>1609060.85</v>
      </c>
    </row>
    <row r="225" spans="1:4" x14ac:dyDescent="0.3">
      <c r="A225" t="str">
        <v>Oct-26</v>
      </c>
      <c r="B225" t="str">
        <v>ST007</v>
      </c>
      <c r="C225" s="5">
        <v>1669166</v>
      </c>
      <c r="D225" s="5">
        <f>C225*(1+Assumptions!$B$12)</f>
        <v>1719240.98</v>
      </c>
    </row>
    <row r="226" spans="1:4" x14ac:dyDescent="0.3">
      <c r="A226" t="str">
        <v>Oct-26</v>
      </c>
      <c r="B226" t="str">
        <v>ST008</v>
      </c>
      <c r="C226" s="5">
        <v>1696266</v>
      </c>
      <c r="D226" s="5">
        <f>C226*(1+Assumptions!$B$12)</f>
        <v>1747153.98</v>
      </c>
    </row>
    <row r="227" spans="1:4" x14ac:dyDescent="0.3">
      <c r="A227" t="str">
        <v>Oct-26</v>
      </c>
      <c r="B227" t="str">
        <v>ST009</v>
      </c>
      <c r="C227" s="5">
        <v>1496280</v>
      </c>
      <c r="D227" s="5">
        <f>C227*(1+Assumptions!$B$12)</f>
        <v>1541168.4000000001</v>
      </c>
    </row>
    <row r="228" spans="1:4" x14ac:dyDescent="0.3">
      <c r="A228" t="str">
        <v>Oct-26</v>
      </c>
      <c r="B228" t="str">
        <v>ST010</v>
      </c>
      <c r="C228" s="5">
        <v>1692882</v>
      </c>
      <c r="D228" s="5">
        <f>C228*(1+Assumptions!$B$12)</f>
        <v>1743668.46</v>
      </c>
    </row>
    <row r="229" spans="1:4" x14ac:dyDescent="0.3">
      <c r="A229" t="str">
        <v>Oct-26</v>
      </c>
      <c r="B229" t="str">
        <v>ST011</v>
      </c>
      <c r="C229" s="5">
        <v>1678999</v>
      </c>
      <c r="D229" s="5">
        <f>C229*(1+Assumptions!$B$12)</f>
        <v>1729368.97</v>
      </c>
    </row>
    <row r="230" spans="1:4" x14ac:dyDescent="0.3">
      <c r="A230" t="str">
        <v>Oct-26</v>
      </c>
      <c r="B230" t="str">
        <v>ST012</v>
      </c>
      <c r="C230" s="5">
        <v>1560610</v>
      </c>
      <c r="D230" s="5">
        <f>C230*(1+Assumptions!$B$12)</f>
        <v>1607428.3</v>
      </c>
    </row>
    <row r="231" spans="1:4" x14ac:dyDescent="0.3">
      <c r="A231" t="str">
        <v>Oct-26</v>
      </c>
      <c r="B231" t="str">
        <v>ST013</v>
      </c>
      <c r="C231" s="5">
        <v>1490994</v>
      </c>
      <c r="D231" s="5">
        <f>C231*(1+Assumptions!$B$12)</f>
        <v>1535723.82</v>
      </c>
    </row>
    <row r="232" spans="1:4" x14ac:dyDescent="0.3">
      <c r="A232" t="str">
        <v>Oct-26</v>
      </c>
      <c r="B232" t="str">
        <v>ST014</v>
      </c>
      <c r="C232" s="5">
        <v>1557414</v>
      </c>
      <c r="D232" s="5">
        <f>C232*(1+Assumptions!$B$12)</f>
        <v>1604136.42</v>
      </c>
    </row>
    <row r="233" spans="1:4" x14ac:dyDescent="0.3">
      <c r="A233" t="str">
        <v>Oct-26</v>
      </c>
      <c r="B233" t="str">
        <v>ST015</v>
      </c>
      <c r="C233" s="5">
        <v>1485481</v>
      </c>
      <c r="D233" s="5">
        <f>C233*(1+Assumptions!$B$12)</f>
        <v>1530045.43</v>
      </c>
    </row>
    <row r="234" spans="1:4" x14ac:dyDescent="0.3">
      <c r="A234" t="str">
        <v>Oct-26</v>
      </c>
      <c r="B234" t="str">
        <v>ST016</v>
      </c>
      <c r="C234" s="5">
        <v>1592393</v>
      </c>
      <c r="D234" s="5">
        <f>C234*(1+Assumptions!$B$12)</f>
        <v>1640164.79</v>
      </c>
    </row>
    <row r="235" spans="1:4" x14ac:dyDescent="0.3">
      <c r="A235" t="str">
        <v>Oct-26</v>
      </c>
      <c r="B235" t="str">
        <v>ST017</v>
      </c>
      <c r="C235" s="5">
        <v>1691266</v>
      </c>
      <c r="D235" s="5">
        <f>C235*(1+Assumptions!$B$12)</f>
        <v>1742003.98</v>
      </c>
    </row>
    <row r="236" spans="1:4" x14ac:dyDescent="0.3">
      <c r="A236" t="str">
        <v>Oct-26</v>
      </c>
      <c r="B236" t="str">
        <v>ST018</v>
      </c>
      <c r="C236" s="5">
        <v>1692670</v>
      </c>
      <c r="D236" s="5">
        <f>C236*(1+Assumptions!$B$12)</f>
        <v>1743450.1</v>
      </c>
    </row>
    <row r="237" spans="1:4" x14ac:dyDescent="0.3">
      <c r="A237" t="str">
        <v>Oct-26</v>
      </c>
      <c r="B237" t="str">
        <v>ST019</v>
      </c>
      <c r="C237" s="5">
        <v>1501622</v>
      </c>
      <c r="D237" s="5">
        <f>C237*(1+Assumptions!$B$12)</f>
        <v>1546670.6600000001</v>
      </c>
    </row>
    <row r="238" spans="1:4" x14ac:dyDescent="0.3">
      <c r="A238" t="str">
        <v>Oct-26</v>
      </c>
      <c r="B238" t="str">
        <v>ST020</v>
      </c>
      <c r="C238" s="5">
        <v>1574672</v>
      </c>
      <c r="D238" s="5">
        <f>C238*(1+Assumptions!$B$12)</f>
        <v>1621912.1600000001</v>
      </c>
    </row>
    <row r="239" spans="1:4" x14ac:dyDescent="0.3">
      <c r="A239" t="str">
        <v>Oct-26</v>
      </c>
      <c r="B239" t="str">
        <v>ST021</v>
      </c>
      <c r="C239" s="5">
        <v>1562069</v>
      </c>
      <c r="D239" s="5">
        <f>C239*(1+Assumptions!$B$12)</f>
        <v>1608931.07</v>
      </c>
    </row>
    <row r="240" spans="1:4" x14ac:dyDescent="0.3">
      <c r="A240" t="str">
        <v>Oct-26</v>
      </c>
      <c r="B240" t="str">
        <v>ST022</v>
      </c>
      <c r="C240" s="5">
        <v>1725032</v>
      </c>
      <c r="D240" s="5">
        <f>C240*(1+Assumptions!$B$12)</f>
        <v>1776782.96</v>
      </c>
    </row>
    <row r="241" spans="1:4" x14ac:dyDescent="0.3">
      <c r="A241" t="str">
        <v>Oct-26</v>
      </c>
      <c r="B241" t="str">
        <v>ST023</v>
      </c>
      <c r="C241" s="5">
        <v>1949542</v>
      </c>
      <c r="D241" s="5">
        <f>C241*(1+Assumptions!$B$12)</f>
        <v>2008028.26</v>
      </c>
    </row>
    <row r="242" spans="1:4" x14ac:dyDescent="0.3">
      <c r="A242" t="str">
        <v>Oct-26</v>
      </c>
      <c r="B242" t="str">
        <v>ST024</v>
      </c>
      <c r="C242" s="5">
        <v>3536369</v>
      </c>
      <c r="D242" s="5">
        <f>C242*(1+Assumptions!$B$12)</f>
        <v>3642460.0700000003</v>
      </c>
    </row>
    <row r="243" spans="1:4" x14ac:dyDescent="0.3">
      <c r="A243" t="str">
        <v>Oct-26</v>
      </c>
      <c r="B243" t="str">
        <v>ST025</v>
      </c>
      <c r="C243" s="5">
        <v>1778364</v>
      </c>
      <c r="D243" s="5">
        <f>C243*(1+Assumptions!$B$12)</f>
        <v>1831714.9200000002</v>
      </c>
    </row>
    <row r="244" spans="1:4" x14ac:dyDescent="0.3">
      <c r="A244" t="str">
        <v>Nov-26</v>
      </c>
      <c r="B244" t="str">
        <v>ST001</v>
      </c>
      <c r="C244" s="5">
        <v>1510534</v>
      </c>
      <c r="D244" s="5">
        <f>C244*(1+Assumptions!$B$12)</f>
        <v>1555850.02</v>
      </c>
    </row>
    <row r="245" spans="1:4" x14ac:dyDescent="0.3">
      <c r="A245" t="str">
        <v>Nov-26</v>
      </c>
      <c r="B245" t="str">
        <v>ST002</v>
      </c>
      <c r="C245" s="5">
        <v>1514717</v>
      </c>
      <c r="D245" s="5">
        <f>C245*(1+Assumptions!$B$12)</f>
        <v>1560158.51</v>
      </c>
    </row>
    <row r="246" spans="1:4" x14ac:dyDescent="0.3">
      <c r="A246" t="str">
        <v>Nov-26</v>
      </c>
      <c r="B246" t="str">
        <v>ST003</v>
      </c>
      <c r="C246" s="5">
        <v>1675060</v>
      </c>
      <c r="D246" s="5">
        <f>C246*(1+Assumptions!$B$12)</f>
        <v>1725311.8</v>
      </c>
    </row>
    <row r="247" spans="1:4" x14ac:dyDescent="0.3">
      <c r="A247" t="str">
        <v>Nov-26</v>
      </c>
      <c r="B247" t="str">
        <v>ST004</v>
      </c>
      <c r="C247" s="5">
        <v>1574094</v>
      </c>
      <c r="D247" s="5">
        <f>C247*(1+Assumptions!$B$12)</f>
        <v>1621316.82</v>
      </c>
    </row>
    <row r="248" spans="1:4" x14ac:dyDescent="0.3">
      <c r="A248" t="str">
        <v>Nov-26</v>
      </c>
      <c r="B248" t="str">
        <v>ST005</v>
      </c>
      <c r="C248" s="5">
        <v>1438976</v>
      </c>
      <c r="D248" s="5">
        <f>C248*(1+Assumptions!$B$12)</f>
        <v>1482145.28</v>
      </c>
    </row>
    <row r="249" spans="1:4" x14ac:dyDescent="0.3">
      <c r="A249" t="str">
        <v>Nov-26</v>
      </c>
      <c r="B249" t="str">
        <v>ST006</v>
      </c>
      <c r="C249" s="5">
        <v>1492347</v>
      </c>
      <c r="D249" s="5">
        <f>C249*(1+Assumptions!$B$12)</f>
        <v>1537117.4100000001</v>
      </c>
    </row>
    <row r="250" spans="1:4" x14ac:dyDescent="0.3">
      <c r="A250" t="str">
        <v>Nov-26</v>
      </c>
      <c r="B250" t="str">
        <v>ST007</v>
      </c>
      <c r="C250" s="5">
        <v>1631250</v>
      </c>
      <c r="D250" s="5">
        <f>C250*(1+Assumptions!$B$12)</f>
        <v>1680187.5</v>
      </c>
    </row>
    <row r="251" spans="1:4" x14ac:dyDescent="0.3">
      <c r="A251" t="str">
        <v>Nov-26</v>
      </c>
      <c r="B251" t="str">
        <v>ST008</v>
      </c>
      <c r="C251" s="5">
        <v>1625249</v>
      </c>
      <c r="D251" s="5">
        <f>C251*(1+Assumptions!$B$12)</f>
        <v>1674006.47</v>
      </c>
    </row>
    <row r="252" spans="1:4" x14ac:dyDescent="0.3">
      <c r="A252" t="str">
        <v>Nov-26</v>
      </c>
      <c r="B252" t="str">
        <v>ST009</v>
      </c>
      <c r="C252" s="5">
        <v>1524755</v>
      </c>
      <c r="D252" s="5">
        <f>C252*(1+Assumptions!$B$12)</f>
        <v>1570497.6500000001</v>
      </c>
    </row>
    <row r="253" spans="1:4" x14ac:dyDescent="0.3">
      <c r="A253" t="str">
        <v>Nov-26</v>
      </c>
      <c r="B253" t="str">
        <v>ST010</v>
      </c>
      <c r="C253" s="5">
        <v>1750515</v>
      </c>
      <c r="D253" s="5">
        <f>C253*(1+Assumptions!$B$12)</f>
        <v>1803030.45</v>
      </c>
    </row>
    <row r="254" spans="1:4" x14ac:dyDescent="0.3">
      <c r="A254" t="str">
        <v>Nov-26</v>
      </c>
      <c r="B254" t="str">
        <v>ST011</v>
      </c>
      <c r="C254" s="5">
        <v>1518520</v>
      </c>
      <c r="D254" s="5">
        <f>C254*(1+Assumptions!$B$12)</f>
        <v>1564075.6</v>
      </c>
    </row>
    <row r="255" spans="1:4" x14ac:dyDescent="0.3">
      <c r="A255" t="str">
        <v>Nov-26</v>
      </c>
      <c r="B255" t="str">
        <v>ST012</v>
      </c>
      <c r="C255" s="5">
        <v>1630726</v>
      </c>
      <c r="D255" s="5">
        <f>C255*(1+Assumptions!$B$12)</f>
        <v>1679647.78</v>
      </c>
    </row>
    <row r="256" spans="1:4" x14ac:dyDescent="0.3">
      <c r="A256" t="str">
        <v>Nov-26</v>
      </c>
      <c r="B256" t="str">
        <v>ST013</v>
      </c>
      <c r="C256" s="5">
        <v>1579021</v>
      </c>
      <c r="D256" s="5">
        <f>C256*(1+Assumptions!$B$12)</f>
        <v>1626391.6300000001</v>
      </c>
    </row>
    <row r="257" spans="1:4" x14ac:dyDescent="0.3">
      <c r="A257" t="str">
        <v>Nov-26</v>
      </c>
      <c r="B257" t="str">
        <v>ST014</v>
      </c>
      <c r="C257" s="5">
        <v>1743753</v>
      </c>
      <c r="D257" s="5">
        <f>C257*(1+Assumptions!$B$12)</f>
        <v>1796065.59</v>
      </c>
    </row>
    <row r="258" spans="1:4" x14ac:dyDescent="0.3">
      <c r="A258" t="str">
        <v>Nov-26</v>
      </c>
      <c r="B258" t="str">
        <v>ST015</v>
      </c>
      <c r="C258" s="5">
        <v>1643316</v>
      </c>
      <c r="D258" s="5">
        <f>C258*(1+Assumptions!$B$12)</f>
        <v>1692615.48</v>
      </c>
    </row>
    <row r="259" spans="1:4" x14ac:dyDescent="0.3">
      <c r="A259" t="str">
        <v>Nov-26</v>
      </c>
      <c r="B259" t="str">
        <v>ST016</v>
      </c>
      <c r="C259" s="5">
        <v>1558102</v>
      </c>
      <c r="D259" s="5">
        <f>C259*(1+Assumptions!$B$12)</f>
        <v>1604845.06</v>
      </c>
    </row>
    <row r="260" spans="1:4" x14ac:dyDescent="0.3">
      <c r="A260" t="str">
        <v>Nov-26</v>
      </c>
      <c r="B260" t="str">
        <v>ST017</v>
      </c>
      <c r="C260" s="5">
        <v>1587634</v>
      </c>
      <c r="D260" s="5">
        <f>C260*(1+Assumptions!$B$12)</f>
        <v>1635263.02</v>
      </c>
    </row>
    <row r="261" spans="1:4" x14ac:dyDescent="0.3">
      <c r="A261" t="str">
        <v>Nov-26</v>
      </c>
      <c r="B261" t="str">
        <v>ST018</v>
      </c>
      <c r="C261" s="5">
        <v>1643272</v>
      </c>
      <c r="D261" s="5">
        <f>C261*(1+Assumptions!$B$12)</f>
        <v>1692570.1600000001</v>
      </c>
    </row>
    <row r="262" spans="1:4" x14ac:dyDescent="0.3">
      <c r="A262" t="str">
        <v>Nov-26</v>
      </c>
      <c r="B262" t="str">
        <v>ST019</v>
      </c>
      <c r="C262" s="5">
        <v>1508570</v>
      </c>
      <c r="D262" s="5">
        <f>C262*(1+Assumptions!$B$12)</f>
        <v>1553827.1</v>
      </c>
    </row>
    <row r="263" spans="1:4" x14ac:dyDescent="0.3">
      <c r="A263" t="str">
        <v>Nov-26</v>
      </c>
      <c r="B263" t="str">
        <v>ST020</v>
      </c>
      <c r="C263" s="5">
        <v>1544509</v>
      </c>
      <c r="D263" s="5">
        <f>C263*(1+Assumptions!$B$12)</f>
        <v>1590844.27</v>
      </c>
    </row>
    <row r="264" spans="1:4" x14ac:dyDescent="0.3">
      <c r="A264" t="str">
        <v>Nov-26</v>
      </c>
      <c r="B264" t="str">
        <v>ST021</v>
      </c>
      <c r="C264" s="5">
        <v>1767701</v>
      </c>
      <c r="D264" s="5">
        <f>C264*(1+Assumptions!$B$12)</f>
        <v>1820732.03</v>
      </c>
    </row>
    <row r="265" spans="1:4" x14ac:dyDescent="0.3">
      <c r="A265" t="str">
        <v>Nov-26</v>
      </c>
      <c r="B265" t="str">
        <v>ST022</v>
      </c>
      <c r="C265" s="5">
        <v>1471104</v>
      </c>
      <c r="D265" s="5">
        <f>C265*(1+Assumptions!$B$12)</f>
        <v>1515237.12</v>
      </c>
    </row>
    <row r="266" spans="1:4" x14ac:dyDescent="0.3">
      <c r="A266" t="str">
        <v>Nov-26</v>
      </c>
      <c r="B266" t="str">
        <v>ST023</v>
      </c>
      <c r="C266" s="5">
        <v>1773164</v>
      </c>
      <c r="D266" s="5">
        <f>C266*(1+Assumptions!$B$12)</f>
        <v>1826358.9200000002</v>
      </c>
    </row>
    <row r="267" spans="1:4" x14ac:dyDescent="0.3">
      <c r="A267" t="str">
        <v>Nov-26</v>
      </c>
      <c r="B267" t="str">
        <v>ST024</v>
      </c>
      <c r="C267" s="5">
        <v>3149646</v>
      </c>
      <c r="D267" s="5">
        <f>C267*(1+Assumptions!$B$12)</f>
        <v>3244135.38</v>
      </c>
    </row>
    <row r="268" spans="1:4" x14ac:dyDescent="0.3">
      <c r="A268" t="str">
        <v>Nov-26</v>
      </c>
      <c r="B268" t="str">
        <v>ST025</v>
      </c>
      <c r="C268" s="5">
        <v>1824696</v>
      </c>
      <c r="D268" s="5">
        <f>C268*(1+Assumptions!$B$12)</f>
        <v>1879436.8800000001</v>
      </c>
    </row>
    <row r="269" spans="1:4" x14ac:dyDescent="0.3">
      <c r="A269" t="str">
        <v>Dec-26</v>
      </c>
      <c r="B269" t="str">
        <v>ST001</v>
      </c>
      <c r="C269" s="5">
        <v>1561951</v>
      </c>
      <c r="D269" s="5">
        <f>C269*(1+Assumptions!$B$12)</f>
        <v>1608809.53</v>
      </c>
    </row>
    <row r="270" spans="1:4" x14ac:dyDescent="0.3">
      <c r="A270" t="str">
        <v>Dec-26</v>
      </c>
      <c r="B270" t="str">
        <v>ST002</v>
      </c>
      <c r="C270" s="5">
        <v>1648311</v>
      </c>
      <c r="D270" s="5">
        <f>C270*(1+Assumptions!$B$12)</f>
        <v>1697760.33</v>
      </c>
    </row>
    <row r="271" spans="1:4" x14ac:dyDescent="0.3">
      <c r="A271" t="str">
        <v>Dec-26</v>
      </c>
      <c r="B271" t="str">
        <v>ST003</v>
      </c>
      <c r="C271" s="5">
        <v>1665628</v>
      </c>
      <c r="D271" s="5">
        <f>C271*(1+Assumptions!$B$12)</f>
        <v>1715596.84</v>
      </c>
    </row>
    <row r="272" spans="1:4" x14ac:dyDescent="0.3">
      <c r="A272" t="str">
        <v>Dec-26</v>
      </c>
      <c r="B272" t="str">
        <v>ST004</v>
      </c>
      <c r="C272" s="5">
        <v>1661728</v>
      </c>
      <c r="D272" s="5">
        <f>C272*(1+Assumptions!$B$12)</f>
        <v>1711579.84</v>
      </c>
    </row>
    <row r="273" spans="1:4" x14ac:dyDescent="0.3">
      <c r="A273" t="str">
        <v>Dec-26</v>
      </c>
      <c r="B273" t="str">
        <v>ST005</v>
      </c>
      <c r="C273" s="5">
        <v>1593261</v>
      </c>
      <c r="D273" s="5">
        <f>C273*(1+Assumptions!$B$12)</f>
        <v>1641058.83</v>
      </c>
    </row>
    <row r="274" spans="1:4" x14ac:dyDescent="0.3">
      <c r="A274" t="str">
        <v>Dec-26</v>
      </c>
      <c r="B274" t="str">
        <v>ST006</v>
      </c>
      <c r="C274" s="5">
        <v>1567163</v>
      </c>
      <c r="D274" s="5">
        <f>C274*(1+Assumptions!$B$12)</f>
        <v>1614177.8900000001</v>
      </c>
    </row>
    <row r="275" spans="1:4" x14ac:dyDescent="0.3">
      <c r="A275" t="str">
        <v>Dec-26</v>
      </c>
      <c r="B275" t="str">
        <v>ST007</v>
      </c>
      <c r="C275" s="5">
        <v>1650962</v>
      </c>
      <c r="D275" s="5">
        <f>C275*(1+Assumptions!$B$12)</f>
        <v>1700490.86</v>
      </c>
    </row>
    <row r="276" spans="1:4" x14ac:dyDescent="0.3">
      <c r="A276" t="str">
        <v>Dec-26</v>
      </c>
      <c r="B276" t="str">
        <v>ST008</v>
      </c>
      <c r="C276" s="5">
        <v>1734416</v>
      </c>
      <c r="D276" s="5">
        <f>C276*(1+Assumptions!$B$12)</f>
        <v>1786448.48</v>
      </c>
    </row>
    <row r="277" spans="1:4" x14ac:dyDescent="0.3">
      <c r="A277" t="str">
        <v>Dec-26</v>
      </c>
      <c r="B277" t="str">
        <v>ST009</v>
      </c>
      <c r="C277" s="5">
        <v>1554238</v>
      </c>
      <c r="D277" s="5">
        <f>C277*(1+Assumptions!$B$12)</f>
        <v>1600865.1400000001</v>
      </c>
    </row>
    <row r="278" spans="1:4" x14ac:dyDescent="0.3">
      <c r="A278" t="str">
        <v>Dec-26</v>
      </c>
      <c r="B278" t="str">
        <v>ST010</v>
      </c>
      <c r="C278" s="5">
        <v>1747584</v>
      </c>
      <c r="D278" s="5">
        <f>C278*(1+Assumptions!$B$12)</f>
        <v>1800011.52</v>
      </c>
    </row>
    <row r="279" spans="1:4" x14ac:dyDescent="0.3">
      <c r="A279" t="str">
        <v>Dec-26</v>
      </c>
      <c r="B279" t="str">
        <v>ST011</v>
      </c>
      <c r="C279" s="5">
        <v>1740931</v>
      </c>
      <c r="D279" s="5">
        <f>C279*(1+Assumptions!$B$12)</f>
        <v>1793158.93</v>
      </c>
    </row>
    <row r="280" spans="1:4" x14ac:dyDescent="0.3">
      <c r="A280" t="str">
        <v>Dec-26</v>
      </c>
      <c r="B280" t="str">
        <v>ST012</v>
      </c>
      <c r="C280" s="5">
        <v>1648081</v>
      </c>
      <c r="D280" s="5">
        <f>C280*(1+Assumptions!$B$12)</f>
        <v>1697523.43</v>
      </c>
    </row>
    <row r="281" spans="1:4" x14ac:dyDescent="0.3">
      <c r="A281" t="str">
        <v>Dec-26</v>
      </c>
      <c r="B281" t="str">
        <v>ST013</v>
      </c>
      <c r="C281" s="5">
        <v>1709096</v>
      </c>
      <c r="D281" s="5">
        <f>C281*(1+Assumptions!$B$12)</f>
        <v>1760368.8800000001</v>
      </c>
    </row>
    <row r="282" spans="1:4" x14ac:dyDescent="0.3">
      <c r="A282" t="str">
        <v>Dec-26</v>
      </c>
      <c r="B282" t="str">
        <v>ST014</v>
      </c>
      <c r="C282" s="5">
        <v>1620074</v>
      </c>
      <c r="D282" s="5">
        <f>C282*(1+Assumptions!$B$12)</f>
        <v>1668676.22</v>
      </c>
    </row>
    <row r="283" spans="1:4" x14ac:dyDescent="0.3">
      <c r="A283" t="str">
        <v>Dec-26</v>
      </c>
      <c r="B283" t="str">
        <v>ST015</v>
      </c>
      <c r="C283" s="5">
        <v>1592946</v>
      </c>
      <c r="D283" s="5">
        <f>C283*(1+Assumptions!$B$12)</f>
        <v>1640734.3800000001</v>
      </c>
    </row>
    <row r="284" spans="1:4" x14ac:dyDescent="0.3">
      <c r="A284" t="str">
        <v>Dec-26</v>
      </c>
      <c r="B284" t="str">
        <v>ST016</v>
      </c>
      <c r="C284" s="5">
        <v>1601070</v>
      </c>
      <c r="D284" s="5">
        <f>C284*(1+Assumptions!$B$12)</f>
        <v>1649102.1</v>
      </c>
    </row>
    <row r="285" spans="1:4" x14ac:dyDescent="0.3">
      <c r="A285" t="str">
        <v>Dec-26</v>
      </c>
      <c r="B285" t="str">
        <v>ST017</v>
      </c>
      <c r="C285" s="5">
        <v>1693224</v>
      </c>
      <c r="D285" s="5">
        <f>C285*(1+Assumptions!$B$12)</f>
        <v>1744020.72</v>
      </c>
    </row>
    <row r="286" spans="1:4" x14ac:dyDescent="0.3">
      <c r="A286" t="str">
        <v>Dec-26</v>
      </c>
      <c r="B286" t="str">
        <v>ST018</v>
      </c>
      <c r="C286" s="5">
        <v>1626343</v>
      </c>
      <c r="D286" s="5">
        <f>C286*(1+Assumptions!$B$12)</f>
        <v>1675133.29</v>
      </c>
    </row>
    <row r="287" spans="1:4" x14ac:dyDescent="0.3">
      <c r="A287" t="str">
        <v>Dec-26</v>
      </c>
      <c r="B287" t="str">
        <v>ST019</v>
      </c>
      <c r="C287" s="5">
        <v>1619385</v>
      </c>
      <c r="D287" s="5">
        <f>C287*(1+Assumptions!$B$12)</f>
        <v>1667966.55</v>
      </c>
    </row>
    <row r="288" spans="1:4" x14ac:dyDescent="0.3">
      <c r="A288" t="str">
        <v>Dec-26</v>
      </c>
      <c r="B288" t="str">
        <v>ST020</v>
      </c>
      <c r="C288" s="5">
        <v>1718692</v>
      </c>
      <c r="D288" s="5">
        <f>C288*(1+Assumptions!$B$12)</f>
        <v>1770252.76</v>
      </c>
    </row>
    <row r="289" spans="1:4" x14ac:dyDescent="0.3">
      <c r="A289" t="str">
        <v>Dec-26</v>
      </c>
      <c r="B289" t="str">
        <v>ST021</v>
      </c>
      <c r="C289" s="5">
        <v>1588155</v>
      </c>
      <c r="D289" s="5">
        <f>C289*(1+Assumptions!$B$12)</f>
        <v>1635799.6500000001</v>
      </c>
    </row>
    <row r="290" spans="1:4" x14ac:dyDescent="0.3">
      <c r="A290" t="str">
        <v>Dec-26</v>
      </c>
      <c r="B290" t="str">
        <v>ST022</v>
      </c>
      <c r="C290" s="5">
        <v>1672231</v>
      </c>
      <c r="D290" s="5">
        <f>C290*(1+Assumptions!$B$12)</f>
        <v>1722397.93</v>
      </c>
    </row>
    <row r="291" spans="1:4" x14ac:dyDescent="0.3">
      <c r="A291" t="str">
        <v>Dec-26</v>
      </c>
      <c r="B291" t="str">
        <v>ST023</v>
      </c>
      <c r="C291" s="5">
        <v>2022508</v>
      </c>
      <c r="D291" s="5">
        <f>C291*(1+Assumptions!$B$12)</f>
        <v>2083183.24</v>
      </c>
    </row>
    <row r="292" spans="1:4" x14ac:dyDescent="0.3">
      <c r="A292" t="str">
        <v>Dec-26</v>
      </c>
      <c r="B292" t="str">
        <v>ST024</v>
      </c>
      <c r="C292" s="5">
        <v>3242555</v>
      </c>
      <c r="D292" s="5">
        <f>C292*(1+Assumptions!$B$12)</f>
        <v>3339831.65</v>
      </c>
    </row>
    <row r="293" spans="1:4" x14ac:dyDescent="0.3">
      <c r="A293" t="str">
        <v>Dec-26</v>
      </c>
      <c r="B293" t="str">
        <v>ST025</v>
      </c>
      <c r="C293" s="5">
        <v>1916548</v>
      </c>
      <c r="D293" s="5">
        <f>C293*(1+Assumptions!$B$12)</f>
        <v>1974044.44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5BF9F8-3AA4-4D90-81BD-E24C55F53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Management_Summary</vt:lpstr>
      <vt:lpstr>2026_COGS_GROSS_PROFIT Plan</vt:lpstr>
      <vt:lpstr>historical_actuals</vt:lpstr>
      <vt:lpstr>Assumptions</vt:lpstr>
      <vt:lpstr>raw_data</vt:lpstr>
      <vt:lpstr>2026_Plan_sales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NNAMDI OPARA</dc:creator>
  <cp:lastModifiedBy>NNAMDI OPARA</cp:lastModifiedBy>
  <dcterms:created xsi:type="dcterms:W3CDTF">2026-09-17T21:31:51Z</dcterms:created>
  <dcterms:modified xsi:type="dcterms:W3CDTF">2026-09-28T10:56:12Z</dcterms:modified>
</cp:coreProperties>
</file>